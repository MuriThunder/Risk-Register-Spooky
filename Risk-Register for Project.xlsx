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pivotTables/pivotTable15.xml" ContentType="application/vnd.openxmlformats-officedocument.spreadsheetml.pivot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kinola\Downloads\"/>
    </mc:Choice>
  </mc:AlternateContent>
  <xr:revisionPtr revIDLastSave="0" documentId="13_ncr:1_{D5210EA7-8FEA-459E-83F9-22FBA6FAF96E}" xr6:coauthVersionLast="47" xr6:coauthVersionMax="47" xr10:uidLastSave="{00000000-0000-0000-0000-000000000000}"/>
  <bookViews>
    <workbookView xWindow="-120" yWindow="-120" windowWidth="29040" windowHeight="15720" tabRatio="803" activeTab="7" xr2:uid="{00000000-000D-0000-FFFF-FFFF00000000}"/>
  </bookViews>
  <sheets>
    <sheet name="Information" sheetId="18" r:id="rId1"/>
    <sheet name="Dashboard" sheetId="23" r:id="rId2"/>
    <sheet name="Heatmap" sheetId="34" state="hidden" r:id="rId3"/>
    <sheet name="Gantt chart" sheetId="32" r:id="rId4"/>
    <sheet name="Risk Register" sheetId="24" r:id="rId5"/>
    <sheet name="Tasks" sheetId="30" r:id="rId6"/>
    <sheet name="RiskPivots" sheetId="15" r:id="rId7"/>
    <sheet name="RiskTimeline" sheetId="33" r:id="rId8"/>
    <sheet name="Rating factors" sheetId="25" r:id="rId9"/>
    <sheet name="Dropdowns" sheetId="8" r:id="rId10"/>
  </sheets>
  <definedNames>
    <definedName name="CBriskDesc">#REF!</definedName>
    <definedName name="CombinationControl">#REF!</definedName>
    <definedName name="countBlanks">#REF!</definedName>
    <definedName name="csfSubcategory">#REF!</definedName>
    <definedName name="dateOfRecord">#REF!</definedName>
    <definedName name="detectScore">#REF!</definedName>
    <definedName name="disclaimerCell">#REF!</definedName>
    <definedName name="earliestAssessment">#REF!</definedName>
    <definedName name="familyIDs">#REF!</definedName>
    <definedName name="goRefs">#REF!</definedName>
    <definedName name="greenAbove">#REF!</definedName>
    <definedName name="identifyScore">#REF!</definedName>
    <definedName name="impactHigh">#REF!</definedName>
    <definedName name="impactLow">#REF!</definedName>
    <definedName name="impactMedium">#REF!</definedName>
    <definedName name="impactScale">#REF!</definedName>
    <definedName name="informationCell">#REF!</definedName>
    <definedName name="InScopeOptions" comment="Dropdown options that should be shown when a source is in scope">Dropdowns!#REF!</definedName>
    <definedName name="label025">#REF!</definedName>
    <definedName name="label025NB">#REF!</definedName>
    <definedName name="labelYN">#REF!</definedName>
    <definedName name="labelYNNB">#REF!</definedName>
    <definedName name="latestAssessment">#REF!</definedName>
    <definedName name="minAnsQuestions">#REF!</definedName>
    <definedName name="nameOfFirm">#REF!</definedName>
    <definedName name="nist53revision">#REF!</definedName>
    <definedName name="protectScore">#REF!</definedName>
    <definedName name="recoverScore">#REF!</definedName>
    <definedName name="redBelow">#REF!</definedName>
    <definedName name="resetControl">#REF!</definedName>
    <definedName name="respondScore">#REF!</definedName>
    <definedName name="responsibleParty">#REF!</definedName>
    <definedName name="riskMaximum">#REF!</definedName>
    <definedName name="riskMinimum">#REF!</definedName>
    <definedName name="riskRange">#REF!</definedName>
    <definedName name="riskStrategies">#REF!</definedName>
    <definedName name="scaleChoices">#REF!</definedName>
    <definedName name="scaleType">#REF!</definedName>
    <definedName name="scoreHigh">#REF!</definedName>
    <definedName name="scoreLabel">#REF!</definedName>
    <definedName name="scoreLow">#REF!</definedName>
    <definedName name="scoreMedium">#REF!</definedName>
    <definedName name="setHighScore">#REF!</definedName>
    <definedName name="setLowScore">#REF!</definedName>
    <definedName name="subCatList">#REF!</definedName>
    <definedName name="toggleSCriskRegister">#REF!</definedName>
    <definedName name="userV1">#REF!</definedName>
    <definedName name="userV2">#REF!</definedName>
    <definedName name="userV3">#REF!</definedName>
    <definedName name="userV4">#REF!</definedName>
    <definedName name="userV5">#REF!</definedName>
    <definedName name="workbookVersion">#REF!</definedName>
    <definedName name="yesNo">#REF!</definedName>
    <definedName name="yesNoNA">#REF!</definedName>
    <definedName name="zero2Five">#REF!</definedName>
  </definedNames>
  <calcPr calcId="191029"/>
  <pivotCaches>
    <pivotCache cacheId="0" r:id="rId11"/>
    <pivotCache cacheId="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30" l="1"/>
  <c r="I8" i="33"/>
  <c r="K94" i="30"/>
  <c r="I10" i="33"/>
  <c r="I11" i="33"/>
  <c r="I12" i="33"/>
  <c r="I13" i="33"/>
  <c r="J13" i="33"/>
  <c r="I14" i="33"/>
  <c r="I15" i="33"/>
  <c r="I16" i="33"/>
  <c r="I17" i="33"/>
  <c r="I18" i="33"/>
  <c r="I19" i="33"/>
  <c r="I20" i="33"/>
  <c r="I21" i="33"/>
  <c r="I22" i="33"/>
  <c r="I23" i="33"/>
  <c r="I24" i="33"/>
  <c r="I25" i="33"/>
  <c r="I26" i="33"/>
  <c r="I27" i="33"/>
  <c r="I28" i="33"/>
  <c r="I29" i="33"/>
  <c r="I30" i="33"/>
  <c r="I31" i="33"/>
  <c r="I32" i="33"/>
  <c r="I33" i="33"/>
  <c r="I34" i="33"/>
  <c r="I35" i="33"/>
  <c r="I36" i="33"/>
  <c r="I37" i="33"/>
  <c r="I38" i="33"/>
  <c r="I39" i="33"/>
  <c r="I40" i="33"/>
  <c r="I41" i="33"/>
  <c r="I42" i="33"/>
  <c r="I43" i="33"/>
  <c r="I44" i="33"/>
  <c r="I45" i="33"/>
  <c r="I46" i="33"/>
  <c r="I47" i="33"/>
  <c r="I48" i="33"/>
  <c r="I49" i="33"/>
  <c r="I50" i="33"/>
  <c r="I51" i="33"/>
  <c r="I52" i="33"/>
  <c r="I53" i="33"/>
  <c r="I54" i="33"/>
  <c r="I55" i="33"/>
  <c r="I56" i="33"/>
  <c r="I57" i="33"/>
  <c r="I58" i="33"/>
  <c r="I59" i="33"/>
  <c r="I60" i="33"/>
  <c r="I61" i="33"/>
  <c r="I62" i="33"/>
  <c r="I63" i="33"/>
  <c r="I64" i="33"/>
  <c r="I65" i="33"/>
  <c r="I66" i="33"/>
  <c r="I67" i="33"/>
  <c r="I68" i="33"/>
  <c r="I69" i="33"/>
  <c r="I70" i="33"/>
  <c r="I71" i="33"/>
  <c r="I72" i="33"/>
  <c r="I73" i="33"/>
  <c r="I74" i="33"/>
  <c r="I75" i="33"/>
  <c r="I76" i="33"/>
  <c r="I77" i="33"/>
  <c r="I78" i="33"/>
  <c r="I79" i="33"/>
  <c r="I80" i="33"/>
  <c r="I81" i="33"/>
  <c r="I82" i="33"/>
  <c r="I83" i="33"/>
  <c r="I84" i="33"/>
  <c r="I85" i="33"/>
  <c r="I86" i="33"/>
  <c r="I87" i="33"/>
  <c r="I88" i="33"/>
  <c r="I89" i="33"/>
  <c r="I90" i="33"/>
  <c r="I91" i="33"/>
  <c r="I92" i="33"/>
  <c r="I93" i="33"/>
  <c r="I94" i="33"/>
  <c r="I95" i="33"/>
  <c r="I96" i="33"/>
  <c r="I97" i="33"/>
  <c r="I98" i="33"/>
  <c r="I99" i="33"/>
  <c r="I100" i="33"/>
  <c r="I101" i="33"/>
  <c r="I102" i="33"/>
  <c r="I103" i="33"/>
  <c r="I104" i="33"/>
  <c r="I105" i="33"/>
  <c r="I106" i="33"/>
  <c r="I107" i="33"/>
  <c r="I108" i="33"/>
  <c r="I9" i="33"/>
  <c r="B232" i="15"/>
  <c r="J8" i="33"/>
  <c r="J10" i="33" s="1"/>
  <c r="AH4" i="24"/>
  <c r="AI4" i="24" s="1"/>
  <c r="AH5" i="24"/>
  <c r="AI5" i="24" s="1"/>
  <c r="AH6" i="24"/>
  <c r="AI6" i="24" s="1"/>
  <c r="AH7" i="24"/>
  <c r="AI7" i="24" s="1"/>
  <c r="AH8" i="24"/>
  <c r="AI8" i="24" s="1"/>
  <c r="AH9" i="24"/>
  <c r="AI9" i="24" s="1"/>
  <c r="AH10" i="24"/>
  <c r="AI10" i="24" s="1"/>
  <c r="AH11" i="24"/>
  <c r="AI11" i="24" s="1"/>
  <c r="AH12" i="24"/>
  <c r="AI12" i="24" s="1"/>
  <c r="AH13" i="24"/>
  <c r="AI13" i="24" s="1"/>
  <c r="AH14" i="24"/>
  <c r="AI14" i="24" s="1"/>
  <c r="AH15" i="24"/>
  <c r="AI15" i="24" s="1"/>
  <c r="AH16" i="24"/>
  <c r="AI16" i="24" s="1"/>
  <c r="AH17" i="24"/>
  <c r="AI17" i="24" s="1"/>
  <c r="AH18" i="24"/>
  <c r="AI18" i="24" s="1"/>
  <c r="AH19" i="24"/>
  <c r="AI19" i="24" s="1"/>
  <c r="AH20" i="24"/>
  <c r="AI20" i="24" s="1"/>
  <c r="AH21" i="24"/>
  <c r="AI21" i="24" s="1"/>
  <c r="AH22" i="24"/>
  <c r="AI22" i="24" s="1"/>
  <c r="AH23" i="24"/>
  <c r="AI23" i="24" s="1"/>
  <c r="AH24" i="24"/>
  <c r="AI24" i="24" s="1"/>
  <c r="AG5" i="24"/>
  <c r="AG4" i="24"/>
  <c r="AG6" i="24"/>
  <c r="AG7" i="24"/>
  <c r="AG8" i="24"/>
  <c r="AG9" i="24"/>
  <c r="AG10" i="24"/>
  <c r="AG11" i="24"/>
  <c r="AG12" i="24"/>
  <c r="AG13" i="24"/>
  <c r="AG14" i="24"/>
  <c r="AG15" i="24"/>
  <c r="AG16" i="24"/>
  <c r="AG17" i="24"/>
  <c r="AG18" i="24"/>
  <c r="AG19" i="24"/>
  <c r="AG20" i="24"/>
  <c r="AG21" i="24"/>
  <c r="AG22" i="24"/>
  <c r="AG23" i="24"/>
  <c r="AG24" i="24"/>
  <c r="AN4" i="24"/>
  <c r="AN5" i="24"/>
  <c r="AN6" i="24"/>
  <c r="AN7" i="24"/>
  <c r="AN8" i="24"/>
  <c r="AN9" i="24"/>
  <c r="AN10" i="24"/>
  <c r="AN11" i="24"/>
  <c r="AN12" i="24"/>
  <c r="AN13" i="24"/>
  <c r="AN14" i="24"/>
  <c r="AN15" i="24"/>
  <c r="AN16" i="24"/>
  <c r="AN17" i="24"/>
  <c r="AN18" i="24"/>
  <c r="AN19" i="24"/>
  <c r="AN20" i="24"/>
  <c r="AN21" i="24"/>
  <c r="AN22" i="24"/>
  <c r="AN23" i="24"/>
  <c r="AN24" i="24"/>
  <c r="AM4" i="24"/>
  <c r="AM5" i="24"/>
  <c r="AM6" i="24"/>
  <c r="AM7" i="24"/>
  <c r="AM8" i="24"/>
  <c r="AM9" i="24"/>
  <c r="AM10" i="24"/>
  <c r="AM11" i="24"/>
  <c r="AM12" i="24"/>
  <c r="AM13" i="24"/>
  <c r="AM14" i="24"/>
  <c r="AM15" i="24"/>
  <c r="AM16" i="24"/>
  <c r="AM17" i="24"/>
  <c r="AM18" i="24"/>
  <c r="AM19" i="24"/>
  <c r="AM20" i="24"/>
  <c r="AM21" i="24"/>
  <c r="AM22" i="24"/>
  <c r="AM23" i="24"/>
  <c r="AM24" i="24"/>
  <c r="AF6" i="24"/>
  <c r="AF7" i="24"/>
  <c r="AF8" i="24"/>
  <c r="AF9" i="24"/>
  <c r="AF10" i="24"/>
  <c r="AF11" i="24"/>
  <c r="AF13" i="24"/>
  <c r="AF14" i="24"/>
  <c r="AF15" i="24"/>
  <c r="AF17" i="24"/>
  <c r="AF18" i="24"/>
  <c r="AF19" i="24"/>
  <c r="AF21" i="24"/>
  <c r="AF22" i="24"/>
  <c r="AF23" i="24"/>
  <c r="F6" i="32"/>
  <c r="F80" i="32" s="1"/>
  <c r="J4" i="30"/>
  <c r="N4" i="30" s="1"/>
  <c r="J5" i="30"/>
  <c r="N5" i="30" s="1"/>
  <c r="J6" i="30"/>
  <c r="N6" i="30" s="1"/>
  <c r="J7" i="30"/>
  <c r="N7" i="30" s="1"/>
  <c r="N8" i="30"/>
  <c r="J9" i="30"/>
  <c r="N9" i="30" s="1"/>
  <c r="J10" i="30"/>
  <c r="N10" i="30" s="1"/>
  <c r="J11" i="30"/>
  <c r="N11" i="30" s="1"/>
  <c r="J12" i="30"/>
  <c r="N12" i="30" s="1"/>
  <c r="J13" i="30"/>
  <c r="N13" i="30" s="1"/>
  <c r="J14" i="30"/>
  <c r="N14" i="30" s="1"/>
  <c r="J15" i="30"/>
  <c r="N15" i="30" s="1"/>
  <c r="J16" i="30"/>
  <c r="N16" i="30" s="1"/>
  <c r="J17" i="30"/>
  <c r="N17" i="30" s="1"/>
  <c r="J18" i="30"/>
  <c r="N18" i="30" s="1"/>
  <c r="J19" i="30"/>
  <c r="N19" i="30" s="1"/>
  <c r="J20" i="30"/>
  <c r="N20" i="30" s="1"/>
  <c r="J21" i="30"/>
  <c r="N21" i="30" s="1"/>
  <c r="J22" i="30"/>
  <c r="N22" i="30" s="1"/>
  <c r="J23" i="30"/>
  <c r="N23" i="30" s="1"/>
  <c r="J24" i="30"/>
  <c r="N24" i="30" s="1"/>
  <c r="J25" i="30"/>
  <c r="N25" i="30" s="1"/>
  <c r="J26" i="30"/>
  <c r="N26" i="30" s="1"/>
  <c r="J27" i="30"/>
  <c r="N27" i="30" s="1"/>
  <c r="J28" i="30"/>
  <c r="N28" i="30" s="1"/>
  <c r="J29" i="30"/>
  <c r="N29" i="30" s="1"/>
  <c r="J30" i="30"/>
  <c r="N30" i="30" s="1"/>
  <c r="J31" i="30"/>
  <c r="N31" i="30" s="1"/>
  <c r="J32" i="30"/>
  <c r="N32" i="30" s="1"/>
  <c r="J33" i="30"/>
  <c r="N33" i="30" s="1"/>
  <c r="J34" i="30"/>
  <c r="N34" i="30" s="1"/>
  <c r="J35" i="30"/>
  <c r="N35" i="30" s="1"/>
  <c r="J36" i="30"/>
  <c r="N36" i="30" s="1"/>
  <c r="J37" i="30"/>
  <c r="N37" i="30" s="1"/>
  <c r="J38" i="30"/>
  <c r="N38" i="30" s="1"/>
  <c r="J39" i="30"/>
  <c r="N39" i="30" s="1"/>
  <c r="J40" i="30"/>
  <c r="N40" i="30" s="1"/>
  <c r="J41" i="30"/>
  <c r="N41" i="30" s="1"/>
  <c r="J42" i="30"/>
  <c r="N42" i="30" s="1"/>
  <c r="J43" i="30"/>
  <c r="N43" i="30" s="1"/>
  <c r="J44" i="30"/>
  <c r="N44" i="30" s="1"/>
  <c r="J45" i="30"/>
  <c r="N45" i="30" s="1"/>
  <c r="J46" i="30"/>
  <c r="N46" i="30" s="1"/>
  <c r="J47" i="30"/>
  <c r="N47" i="30" s="1"/>
  <c r="J48" i="30"/>
  <c r="N48" i="30" s="1"/>
  <c r="J49" i="30"/>
  <c r="N49" i="30" s="1"/>
  <c r="J50" i="30"/>
  <c r="N50" i="30" s="1"/>
  <c r="J51" i="30"/>
  <c r="N51" i="30" s="1"/>
  <c r="J52" i="30"/>
  <c r="N52" i="30" s="1"/>
  <c r="J53" i="30"/>
  <c r="N53" i="30" s="1"/>
  <c r="J54" i="30"/>
  <c r="N54" i="30" s="1"/>
  <c r="J55" i="30"/>
  <c r="N55" i="30" s="1"/>
  <c r="J56" i="30"/>
  <c r="N56" i="30" s="1"/>
  <c r="J57" i="30"/>
  <c r="N57" i="30" s="1"/>
  <c r="J58" i="30"/>
  <c r="N58" i="30" s="1"/>
  <c r="J59" i="30"/>
  <c r="N59" i="30" s="1"/>
  <c r="J60" i="30"/>
  <c r="N60" i="30" s="1"/>
  <c r="J61" i="30"/>
  <c r="N61" i="30" s="1"/>
  <c r="J62" i="30"/>
  <c r="N62" i="30" s="1"/>
  <c r="J63" i="30"/>
  <c r="N63" i="30" s="1"/>
  <c r="J64" i="30"/>
  <c r="N64" i="30" s="1"/>
  <c r="J65" i="30"/>
  <c r="N65" i="30" s="1"/>
  <c r="J66" i="30"/>
  <c r="N66" i="30" s="1"/>
  <c r="J67" i="30"/>
  <c r="N67" i="30" s="1"/>
  <c r="J68" i="30"/>
  <c r="N68" i="30" s="1"/>
  <c r="J69" i="30"/>
  <c r="N69" i="30" s="1"/>
  <c r="J70" i="30"/>
  <c r="N70" i="30" s="1"/>
  <c r="J71" i="30"/>
  <c r="N71" i="30" s="1"/>
  <c r="J72" i="30"/>
  <c r="N72" i="30" s="1"/>
  <c r="J73" i="30"/>
  <c r="N73" i="30" s="1"/>
  <c r="J74" i="30"/>
  <c r="N74" i="30" s="1"/>
  <c r="J75" i="30"/>
  <c r="N75" i="30" s="1"/>
  <c r="J76" i="30"/>
  <c r="N76" i="30" s="1"/>
  <c r="J77" i="30"/>
  <c r="N77" i="30" s="1"/>
  <c r="J78" i="30"/>
  <c r="N78" i="30" s="1"/>
  <c r="J79" i="30"/>
  <c r="N79" i="30" s="1"/>
  <c r="J80" i="30"/>
  <c r="N80" i="30" s="1"/>
  <c r="J81" i="30"/>
  <c r="N81" i="30" s="1"/>
  <c r="J82" i="30"/>
  <c r="N82" i="30" s="1"/>
  <c r="J83" i="30"/>
  <c r="N83" i="30" s="1"/>
  <c r="J84" i="30"/>
  <c r="N84" i="30" s="1"/>
  <c r="J85" i="30"/>
  <c r="N85" i="30" s="1"/>
  <c r="J86" i="30"/>
  <c r="N86" i="30" s="1"/>
  <c r="J87" i="30"/>
  <c r="N87" i="30" s="1"/>
  <c r="J88" i="30"/>
  <c r="N88" i="30" s="1"/>
  <c r="J89" i="30"/>
  <c r="N89" i="30" s="1"/>
  <c r="J90" i="30"/>
  <c r="N90" i="30" s="1"/>
  <c r="J91" i="30"/>
  <c r="N91" i="30" s="1"/>
  <c r="J92" i="30"/>
  <c r="N92" i="30" s="1"/>
  <c r="J93" i="30"/>
  <c r="N93" i="30" s="1"/>
  <c r="J94" i="30"/>
  <c r="N94" i="30" s="1"/>
  <c r="J95" i="30"/>
  <c r="N95" i="30" s="1"/>
  <c r="J96" i="30"/>
  <c r="N96" i="30" s="1"/>
  <c r="J97" i="30"/>
  <c r="N97" i="30" s="1"/>
  <c r="J98" i="30"/>
  <c r="N98" i="30" s="1"/>
  <c r="J99" i="30"/>
  <c r="N99" i="30" s="1"/>
  <c r="J100" i="30"/>
  <c r="N100" i="30" s="1"/>
  <c r="J101" i="30"/>
  <c r="N101" i="30" s="1"/>
  <c r="J102" i="30"/>
  <c r="N102" i="30" s="1"/>
  <c r="J103" i="30"/>
  <c r="N103" i="30" s="1"/>
  <c r="K4" i="30"/>
  <c r="K5" i="30"/>
  <c r="K6" i="30"/>
  <c r="K7" i="30"/>
  <c r="K8" i="30"/>
  <c r="K9" i="30"/>
  <c r="K10" i="30"/>
  <c r="K11" i="30"/>
  <c r="K12" i="30"/>
  <c r="K13" i="30"/>
  <c r="K14" i="30"/>
  <c r="K15" i="30"/>
  <c r="K16" i="30"/>
  <c r="K17" i="30"/>
  <c r="K18" i="30"/>
  <c r="K19" i="30"/>
  <c r="K20" i="30"/>
  <c r="K21" i="30"/>
  <c r="K22" i="30"/>
  <c r="K23" i="30"/>
  <c r="K24" i="30"/>
  <c r="K25" i="30"/>
  <c r="K26" i="30"/>
  <c r="K27" i="30"/>
  <c r="K28" i="30"/>
  <c r="K29" i="30"/>
  <c r="K30" i="30"/>
  <c r="K31" i="30"/>
  <c r="K32" i="30"/>
  <c r="K33" i="30"/>
  <c r="K34" i="30"/>
  <c r="K35" i="30"/>
  <c r="K36" i="30"/>
  <c r="K37" i="30"/>
  <c r="K38" i="30"/>
  <c r="K39" i="30"/>
  <c r="K40" i="30"/>
  <c r="K41" i="30"/>
  <c r="K42" i="30"/>
  <c r="K43" i="30"/>
  <c r="K44" i="30"/>
  <c r="K45" i="30"/>
  <c r="K46" i="30"/>
  <c r="K47" i="30"/>
  <c r="K48" i="30"/>
  <c r="K49" i="30"/>
  <c r="K50" i="30"/>
  <c r="K51" i="30"/>
  <c r="K52" i="30"/>
  <c r="K53" i="30"/>
  <c r="K54" i="30"/>
  <c r="K55" i="30"/>
  <c r="K56" i="30"/>
  <c r="K57" i="30"/>
  <c r="K58" i="30"/>
  <c r="K59" i="30"/>
  <c r="K60" i="30"/>
  <c r="K61" i="30"/>
  <c r="K62" i="30"/>
  <c r="K63" i="30"/>
  <c r="K64" i="30"/>
  <c r="K65" i="30"/>
  <c r="K66" i="30"/>
  <c r="K67" i="30"/>
  <c r="K68" i="30"/>
  <c r="K69" i="30"/>
  <c r="K70" i="30"/>
  <c r="K71" i="30"/>
  <c r="K72" i="30"/>
  <c r="K73" i="30"/>
  <c r="K74" i="30"/>
  <c r="K75" i="30"/>
  <c r="K76" i="30"/>
  <c r="K77" i="30"/>
  <c r="K78" i="30"/>
  <c r="K79" i="30"/>
  <c r="K80" i="30"/>
  <c r="K81" i="30"/>
  <c r="K82" i="30"/>
  <c r="K83" i="30"/>
  <c r="K84" i="30"/>
  <c r="K85" i="30"/>
  <c r="K86" i="30"/>
  <c r="K87" i="30"/>
  <c r="K88" i="30"/>
  <c r="K89" i="30"/>
  <c r="K90" i="30"/>
  <c r="K91" i="30"/>
  <c r="K92" i="30"/>
  <c r="K93" i="30"/>
  <c r="K95" i="30"/>
  <c r="K96" i="30"/>
  <c r="K97" i="30"/>
  <c r="K98" i="30"/>
  <c r="K99" i="30"/>
  <c r="K100" i="30"/>
  <c r="K101" i="30"/>
  <c r="K102" i="30"/>
  <c r="K103" i="30"/>
  <c r="AL4" i="24"/>
  <c r="AL5" i="24"/>
  <c r="AL6" i="24"/>
  <c r="AL7" i="24"/>
  <c r="AL8" i="24"/>
  <c r="AL9" i="24"/>
  <c r="AL10" i="24"/>
  <c r="AL11" i="24"/>
  <c r="AL12" i="24"/>
  <c r="AL13" i="24"/>
  <c r="AL14" i="24"/>
  <c r="AL15" i="24"/>
  <c r="AL16" i="24"/>
  <c r="AL17" i="24"/>
  <c r="AL18" i="24"/>
  <c r="AL19" i="24"/>
  <c r="AL20" i="24"/>
  <c r="AL21" i="24"/>
  <c r="AL22" i="24"/>
  <c r="AL23" i="24"/>
  <c r="AL24" i="24"/>
  <c r="AK4" i="24"/>
  <c r="AK5" i="24"/>
  <c r="AO5" i="24" s="1"/>
  <c r="AK6" i="24"/>
  <c r="AK7" i="24"/>
  <c r="AK8" i="24"/>
  <c r="AK9" i="24"/>
  <c r="AK10" i="24"/>
  <c r="AK11" i="24"/>
  <c r="AO11" i="24" s="1"/>
  <c r="AK12" i="24"/>
  <c r="AK13" i="24"/>
  <c r="AK14" i="24"/>
  <c r="AK15" i="24"/>
  <c r="AK16" i="24"/>
  <c r="AK17" i="24"/>
  <c r="AK18" i="24"/>
  <c r="AK19" i="24"/>
  <c r="AK20" i="24"/>
  <c r="AK21" i="24"/>
  <c r="AK22" i="24"/>
  <c r="AK23" i="24"/>
  <c r="AO23" i="24" s="1"/>
  <c r="AK24" i="24"/>
  <c r="AJ4" i="24"/>
  <c r="AO4" i="24" s="1"/>
  <c r="AJ5" i="24"/>
  <c r="AJ6" i="24"/>
  <c r="AO6" i="24" s="1"/>
  <c r="AJ7" i="24"/>
  <c r="AO7" i="24" s="1"/>
  <c r="AJ8" i="24"/>
  <c r="AO8" i="24" s="1"/>
  <c r="AJ9" i="24"/>
  <c r="AO9" i="24" s="1"/>
  <c r="AJ10" i="24"/>
  <c r="AO10" i="24" s="1"/>
  <c r="AJ11" i="24"/>
  <c r="AJ12" i="24"/>
  <c r="AO12" i="24" s="1"/>
  <c r="AJ13" i="24"/>
  <c r="AO13" i="24" s="1"/>
  <c r="AJ14" i="24"/>
  <c r="AO14" i="24" s="1"/>
  <c r="AJ15" i="24"/>
  <c r="AO15" i="24" s="1"/>
  <c r="AJ16" i="24"/>
  <c r="AO16" i="24" s="1"/>
  <c r="AJ17" i="24"/>
  <c r="AO17" i="24" s="1"/>
  <c r="AJ18" i="24"/>
  <c r="AO18" i="24" s="1"/>
  <c r="AJ19" i="24"/>
  <c r="AO19" i="24" s="1"/>
  <c r="AJ20" i="24"/>
  <c r="AO20" i="24" s="1"/>
  <c r="AJ21" i="24"/>
  <c r="AO21" i="24" s="1"/>
  <c r="AJ22" i="24"/>
  <c r="AO22" i="24" s="1"/>
  <c r="AJ23" i="24"/>
  <c r="AJ24" i="24"/>
  <c r="AO24" i="24" s="1"/>
  <c r="AF4" i="24"/>
  <c r="AF5" i="24"/>
  <c r="AF12" i="24"/>
  <c r="AF16" i="24"/>
  <c r="AF20" i="24"/>
  <c r="AF24" i="24"/>
  <c r="W4" i="24"/>
  <c r="W5" i="24"/>
  <c r="W6" i="24"/>
  <c r="W7" i="24"/>
  <c r="W8" i="24"/>
  <c r="W9" i="24"/>
  <c r="W10" i="24"/>
  <c r="W11" i="24"/>
  <c r="W12" i="24"/>
  <c r="W13" i="24"/>
  <c r="W14" i="24"/>
  <c r="W15" i="24"/>
  <c r="W16" i="24"/>
  <c r="W17" i="24"/>
  <c r="W18" i="24"/>
  <c r="W19" i="24"/>
  <c r="W20" i="24"/>
  <c r="W21" i="24"/>
  <c r="W22" i="24"/>
  <c r="W23" i="24"/>
  <c r="W24" i="24"/>
  <c r="U4" i="24"/>
  <c r="U5" i="24"/>
  <c r="U6" i="24"/>
  <c r="U7" i="24"/>
  <c r="U8" i="24"/>
  <c r="U9" i="24"/>
  <c r="U10" i="24"/>
  <c r="U11" i="24"/>
  <c r="U12" i="24"/>
  <c r="U13" i="24"/>
  <c r="U14" i="24"/>
  <c r="U15" i="24"/>
  <c r="U16" i="24"/>
  <c r="Y16" i="24" s="1"/>
  <c r="X16" i="24" s="1"/>
  <c r="U17" i="24"/>
  <c r="U18" i="24"/>
  <c r="U19" i="24"/>
  <c r="Y19" i="24" s="1"/>
  <c r="X19" i="24" s="1"/>
  <c r="U20" i="24"/>
  <c r="U21" i="24"/>
  <c r="U22" i="24"/>
  <c r="U23" i="24"/>
  <c r="U24" i="24"/>
  <c r="F153" i="15"/>
  <c r="F161" i="15"/>
  <c r="E73" i="15"/>
  <c r="D141" i="15"/>
  <c r="C92" i="15"/>
  <c r="F220" i="15"/>
  <c r="F157" i="15"/>
  <c r="F158" i="15"/>
  <c r="F211" i="15"/>
  <c r="F126" i="15"/>
  <c r="F155" i="15"/>
  <c r="F221" i="15"/>
  <c r="F177" i="15"/>
  <c r="D41" i="15"/>
  <c r="F64" i="15"/>
  <c r="F222" i="15"/>
  <c r="F163" i="15"/>
  <c r="F154" i="15"/>
  <c r="C41" i="15"/>
  <c r="F216" i="15"/>
  <c r="F219" i="15"/>
  <c r="C42" i="15"/>
  <c r="F170" i="15"/>
  <c r="F214" i="15"/>
  <c r="F218" i="15"/>
  <c r="F166" i="15"/>
  <c r="C114" i="15"/>
  <c r="F173" i="15"/>
  <c r="F212" i="15"/>
  <c r="F175" i="15"/>
  <c r="F171" i="15"/>
  <c r="F156" i="15"/>
  <c r="F217" i="15"/>
  <c r="F176" i="15"/>
  <c r="F215" i="15"/>
  <c r="F174" i="15"/>
  <c r="D42" i="15"/>
  <c r="F165" i="15"/>
  <c r="F162" i="15"/>
  <c r="F172" i="15"/>
  <c r="F168" i="15"/>
  <c r="F213" i="15"/>
  <c r="F167" i="15"/>
  <c r="F159" i="15"/>
  <c r="C141" i="15"/>
  <c r="E64" i="15"/>
  <c r="F164" i="15"/>
  <c r="F169" i="15"/>
  <c r="C43" i="15"/>
  <c r="D43" i="15"/>
  <c r="F160" i="15"/>
  <c r="J29" i="33" l="1"/>
  <c r="J78" i="33"/>
  <c r="J93" i="33"/>
  <c r="J28" i="33"/>
  <c r="J108" i="33"/>
  <c r="J44" i="33"/>
  <c r="J59" i="33"/>
  <c r="J43" i="33"/>
  <c r="J74" i="33"/>
  <c r="J58" i="33"/>
  <c r="J89" i="33"/>
  <c r="J24" i="33"/>
  <c r="J104" i="33"/>
  <c r="J73" i="33"/>
  <c r="J88" i="33"/>
  <c r="J103" i="33"/>
  <c r="J53" i="33"/>
  <c r="J99" i="33"/>
  <c r="J84" i="33"/>
  <c r="J49" i="33"/>
  <c r="J64" i="33"/>
  <c r="J14" i="33"/>
  <c r="J34" i="33"/>
  <c r="J19" i="33"/>
  <c r="J79" i="33"/>
  <c r="J33" i="33"/>
  <c r="J18" i="33"/>
  <c r="J63" i="33"/>
  <c r="J48" i="33"/>
  <c r="Y18" i="24"/>
  <c r="X18" i="24" s="1"/>
  <c r="Y20" i="24"/>
  <c r="X20" i="24" s="1"/>
  <c r="Y8" i="24"/>
  <c r="X8" i="24" s="1"/>
  <c r="Y7" i="24"/>
  <c r="X7" i="24" s="1"/>
  <c r="Y6" i="24"/>
  <c r="X6" i="24" s="1"/>
  <c r="Y23" i="24"/>
  <c r="X23" i="24" s="1"/>
  <c r="AP23" i="24" s="1"/>
  <c r="Y4" i="24"/>
  <c r="X4" i="24" s="1"/>
  <c r="Y22" i="24"/>
  <c r="X22" i="24" s="1"/>
  <c r="Y5" i="24"/>
  <c r="X5" i="24" s="1"/>
  <c r="AP5" i="24" s="1"/>
  <c r="Y21" i="24"/>
  <c r="X21" i="24" s="1"/>
  <c r="J98" i="33"/>
  <c r="J69" i="33"/>
  <c r="J83" i="33"/>
  <c r="J54" i="33"/>
  <c r="J68" i="33"/>
  <c r="J39" i="33"/>
  <c r="J38" i="33"/>
  <c r="J9" i="33"/>
  <c r="J94" i="33"/>
  <c r="J23" i="33"/>
  <c r="J106" i="33"/>
  <c r="J101" i="33"/>
  <c r="J96" i="33"/>
  <c r="J91" i="33"/>
  <c r="J86" i="33"/>
  <c r="J81" i="33"/>
  <c r="J76" i="33"/>
  <c r="J71" i="33"/>
  <c r="J66" i="33"/>
  <c r="J61" i="33"/>
  <c r="J56" i="33"/>
  <c r="J51" i="33"/>
  <c r="J46" i="33"/>
  <c r="J41" i="33"/>
  <c r="J36" i="33"/>
  <c r="J31" i="33"/>
  <c r="J26" i="33"/>
  <c r="J21" i="33"/>
  <c r="J16" i="33"/>
  <c r="J11" i="33"/>
  <c r="J107" i="33"/>
  <c r="J102" i="33"/>
  <c r="J97" i="33"/>
  <c r="J92" i="33"/>
  <c r="J87" i="33"/>
  <c r="J82" i="33"/>
  <c r="J77" i="33"/>
  <c r="J72" i="33"/>
  <c r="J67" i="33"/>
  <c r="J62" i="33"/>
  <c r="J57" i="33"/>
  <c r="J52" i="33"/>
  <c r="J47" i="33"/>
  <c r="J42" i="33"/>
  <c r="J37" i="33"/>
  <c r="J32" i="33"/>
  <c r="J27" i="33"/>
  <c r="J22" i="33"/>
  <c r="J17" i="33"/>
  <c r="J12" i="33"/>
  <c r="K8" i="33"/>
  <c r="J105" i="33"/>
  <c r="J100" i="33"/>
  <c r="J95" i="33"/>
  <c r="J90" i="33"/>
  <c r="J85" i="33"/>
  <c r="J80" i="33"/>
  <c r="J75" i="33"/>
  <c r="J70" i="33"/>
  <c r="J65" i="33"/>
  <c r="J60" i="33"/>
  <c r="J55" i="33"/>
  <c r="J50" i="33"/>
  <c r="J45" i="33"/>
  <c r="J40" i="33"/>
  <c r="J35" i="33"/>
  <c r="J30" i="33"/>
  <c r="J25" i="33"/>
  <c r="J20" i="33"/>
  <c r="J15" i="33"/>
  <c r="F8" i="32"/>
  <c r="F9" i="32"/>
  <c r="F46" i="32"/>
  <c r="F10" i="32"/>
  <c r="F81" i="32"/>
  <c r="F11" i="32"/>
  <c r="F27" i="32"/>
  <c r="F40" i="32"/>
  <c r="F50" i="32"/>
  <c r="F65" i="32"/>
  <c r="F105" i="32"/>
  <c r="F19" i="32"/>
  <c r="F13" i="32"/>
  <c r="F28" i="32"/>
  <c r="F45" i="32"/>
  <c r="F70" i="32"/>
  <c r="F56" i="32"/>
  <c r="F20" i="32"/>
  <c r="F29" i="32"/>
  <c r="F75" i="32"/>
  <c r="F38" i="32"/>
  <c r="F14" i="32"/>
  <c r="F21" i="32"/>
  <c r="F30" i="32"/>
  <c r="G6" i="32"/>
  <c r="F102" i="32"/>
  <c r="F97" i="32"/>
  <c r="F92" i="32"/>
  <c r="F87" i="32"/>
  <c r="F82" i="32"/>
  <c r="F77" i="32"/>
  <c r="F72" i="32"/>
  <c r="F67" i="32"/>
  <c r="F62" i="32"/>
  <c r="F57" i="32"/>
  <c r="F52" i="32"/>
  <c r="F47" i="32"/>
  <c r="F42" i="32"/>
  <c r="F37" i="32"/>
  <c r="F104" i="32"/>
  <c r="F99" i="32"/>
  <c r="F94" i="32"/>
  <c r="F89" i="32"/>
  <c r="F84" i="32"/>
  <c r="F79" i="32"/>
  <c r="F74" i="32"/>
  <c r="F69" i="32"/>
  <c r="F64" i="32"/>
  <c r="F59" i="32"/>
  <c r="F54" i="32"/>
  <c r="F49" i="32"/>
  <c r="F44" i="32"/>
  <c r="F39" i="32"/>
  <c r="F103" i="32"/>
  <c r="F98" i="32"/>
  <c r="F93" i="32"/>
  <c r="F88" i="32"/>
  <c r="F83" i="32"/>
  <c r="F78" i="32"/>
  <c r="F73" i="32"/>
  <c r="F68" i="32"/>
  <c r="F63" i="32"/>
  <c r="F58" i="32"/>
  <c r="F53" i="32"/>
  <c r="F86" i="32"/>
  <c r="F36" i="32"/>
  <c r="F31" i="32"/>
  <c r="F26" i="32"/>
  <c r="F95" i="32"/>
  <c r="F91" i="32"/>
  <c r="F100" i="32"/>
  <c r="F32" i="32"/>
  <c r="F85" i="32"/>
  <c r="F22" i="32"/>
  <c r="F33" i="32"/>
  <c r="F43" i="32"/>
  <c r="F55" i="32"/>
  <c r="F96" i="32"/>
  <c r="F15" i="32"/>
  <c r="F34" i="32"/>
  <c r="F90" i="32"/>
  <c r="F35" i="32"/>
  <c r="F48" i="32"/>
  <c r="F61" i="32"/>
  <c r="F101" i="32"/>
  <c r="F16" i="32"/>
  <c r="F23" i="32"/>
  <c r="F66" i="32"/>
  <c r="F106" i="32"/>
  <c r="F17" i="32"/>
  <c r="F24" i="32"/>
  <c r="F51" i="32"/>
  <c r="F71" i="32"/>
  <c r="F41" i="32"/>
  <c r="F60" i="32"/>
  <c r="F76" i="32"/>
  <c r="F12" i="32"/>
  <c r="F18" i="32"/>
  <c r="F25" i="32"/>
  <c r="I7" i="33"/>
  <c r="C232" i="15"/>
  <c r="Y17" i="24"/>
  <c r="X17" i="24" s="1"/>
  <c r="Y13" i="24"/>
  <c r="X13" i="24" s="1"/>
  <c r="Y24" i="24"/>
  <c r="X24" i="24" s="1"/>
  <c r="Y10" i="24"/>
  <c r="X10" i="24" s="1"/>
  <c r="Y15" i="24"/>
  <c r="X15" i="24" s="1"/>
  <c r="Y14" i="24"/>
  <c r="X14" i="24" s="1"/>
  <c r="Y12" i="24"/>
  <c r="X12" i="24" s="1"/>
  <c r="B233" i="15"/>
  <c r="F223" i="15"/>
  <c r="F95" i="23"/>
  <c r="J99" i="23"/>
  <c r="N96" i="23"/>
  <c r="N97" i="23"/>
  <c r="F98" i="23"/>
  <c r="N95" i="23"/>
  <c r="J97" i="23"/>
  <c r="J95" i="23"/>
  <c r="L99" i="23"/>
  <c r="J96" i="23"/>
  <c r="F97" i="23"/>
  <c r="L98" i="23"/>
  <c r="L97" i="23"/>
  <c r="H98" i="23"/>
  <c r="H99" i="23"/>
  <c r="H95" i="23"/>
  <c r="N98" i="23"/>
  <c r="F99" i="23"/>
  <c r="H96" i="23"/>
  <c r="H97" i="23"/>
  <c r="L96" i="23"/>
  <c r="F96" i="23"/>
  <c r="J98" i="23"/>
  <c r="L95" i="23"/>
  <c r="N99" i="23"/>
  <c r="F7" i="32"/>
  <c r="F178" i="15"/>
  <c r="Y11" i="24"/>
  <c r="X11" i="24" s="1"/>
  <c r="AP11" i="24" s="1"/>
  <c r="Y9" i="24"/>
  <c r="X9" i="24" s="1"/>
  <c r="E141" i="15"/>
  <c r="AD4" i="24"/>
  <c r="AD5" i="24"/>
  <c r="AD6" i="24"/>
  <c r="AD7" i="24"/>
  <c r="AD8" i="24"/>
  <c r="AD9" i="24"/>
  <c r="AD10" i="24"/>
  <c r="AD11" i="24"/>
  <c r="AD12" i="24"/>
  <c r="AD13" i="24"/>
  <c r="AD14" i="24"/>
  <c r="AD15" i="24"/>
  <c r="AD16" i="24"/>
  <c r="AD17" i="24"/>
  <c r="AD18" i="24"/>
  <c r="AD19" i="24"/>
  <c r="AD20" i="24"/>
  <c r="AD21" i="24"/>
  <c r="AD22" i="24"/>
  <c r="AD23" i="24"/>
  <c r="AD24" i="24"/>
  <c r="C115" i="15"/>
  <c r="J7" i="33" l="1"/>
  <c r="L8" i="33"/>
  <c r="K13" i="33"/>
  <c r="K18" i="33"/>
  <c r="K23" i="33"/>
  <c r="K28" i="33"/>
  <c r="K33" i="33"/>
  <c r="K38" i="33"/>
  <c r="K43" i="33"/>
  <c r="K48" i="33"/>
  <c r="K53" i="33"/>
  <c r="K58" i="33"/>
  <c r="K63" i="33"/>
  <c r="K68" i="33"/>
  <c r="K73" i="33"/>
  <c r="K78" i="33"/>
  <c r="K83" i="33"/>
  <c r="K88" i="33"/>
  <c r="K93" i="33"/>
  <c r="K98" i="33"/>
  <c r="K103" i="33"/>
  <c r="K108" i="33"/>
  <c r="K10" i="33"/>
  <c r="K15" i="33"/>
  <c r="K20" i="33"/>
  <c r="K25" i="33"/>
  <c r="K30" i="33"/>
  <c r="K35" i="33"/>
  <c r="K40" i="33"/>
  <c r="K45" i="33"/>
  <c r="K50" i="33"/>
  <c r="K55" i="33"/>
  <c r="K60" i="33"/>
  <c r="K65" i="33"/>
  <c r="K70" i="33"/>
  <c r="K75" i="33"/>
  <c r="K80" i="33"/>
  <c r="K85" i="33"/>
  <c r="K90" i="33"/>
  <c r="K95" i="33"/>
  <c r="K100" i="33"/>
  <c r="K105" i="33"/>
  <c r="K12" i="33"/>
  <c r="K17" i="33"/>
  <c r="K22" i="33"/>
  <c r="K27" i="33"/>
  <c r="K32" i="33"/>
  <c r="K37" i="33"/>
  <c r="K42" i="33"/>
  <c r="K47" i="33"/>
  <c r="K52" i="33"/>
  <c r="K57" i="33"/>
  <c r="K62" i="33"/>
  <c r="K67" i="33"/>
  <c r="K72" i="33"/>
  <c r="K77" i="33"/>
  <c r="K82" i="33"/>
  <c r="K87" i="33"/>
  <c r="K92" i="33"/>
  <c r="K97" i="33"/>
  <c r="K102" i="33"/>
  <c r="K107" i="33"/>
  <c r="K9" i="33"/>
  <c r="K14" i="33"/>
  <c r="K19" i="33"/>
  <c r="K24" i="33"/>
  <c r="K29" i="33"/>
  <c r="K34" i="33"/>
  <c r="K39" i="33"/>
  <c r="K44" i="33"/>
  <c r="K49" i="33"/>
  <c r="K54" i="33"/>
  <c r="K59" i="33"/>
  <c r="K64" i="33"/>
  <c r="K69" i="33"/>
  <c r="K74" i="33"/>
  <c r="K79" i="33"/>
  <c r="K84" i="33"/>
  <c r="K89" i="33"/>
  <c r="K94" i="33"/>
  <c r="K99" i="33"/>
  <c r="K104" i="33"/>
  <c r="K11" i="33"/>
  <c r="K16" i="33"/>
  <c r="K21" i="33"/>
  <c r="K26" i="33"/>
  <c r="K31" i="33"/>
  <c r="K36" i="33"/>
  <c r="K41" i="33"/>
  <c r="K46" i="33"/>
  <c r="K51" i="33"/>
  <c r="K106" i="33"/>
  <c r="K101" i="33"/>
  <c r="K91" i="33"/>
  <c r="K71" i="33"/>
  <c r="K66" i="33"/>
  <c r="K96" i="33"/>
  <c r="K86" i="33"/>
  <c r="K81" i="33"/>
  <c r="K76" i="33"/>
  <c r="K61" i="33"/>
  <c r="K56" i="33"/>
  <c r="H6" i="32"/>
  <c r="G103" i="32"/>
  <c r="G98" i="32"/>
  <c r="G93" i="32"/>
  <c r="G88" i="32"/>
  <c r="G83" i="32"/>
  <c r="G78" i="32"/>
  <c r="G73" i="32"/>
  <c r="G68" i="32"/>
  <c r="G63" i="32"/>
  <c r="G102" i="32"/>
  <c r="G97" i="32"/>
  <c r="G92" i="32"/>
  <c r="G87" i="32"/>
  <c r="G82" i="32"/>
  <c r="G77" i="32"/>
  <c r="G72" i="32"/>
  <c r="G67" i="32"/>
  <c r="G62" i="32"/>
  <c r="G57" i="32"/>
  <c r="G52" i="32"/>
  <c r="G47" i="32"/>
  <c r="G42" i="32"/>
  <c r="G95" i="32"/>
  <c r="G104" i="32"/>
  <c r="G91" i="32"/>
  <c r="G58" i="32"/>
  <c r="G100" i="32"/>
  <c r="G96" i="32"/>
  <c r="G89" i="32"/>
  <c r="G76" i="32"/>
  <c r="G60" i="32"/>
  <c r="G41" i="32"/>
  <c r="G11" i="32"/>
  <c r="G84" i="32"/>
  <c r="G71" i="32"/>
  <c r="G54" i="32"/>
  <c r="G51" i="32"/>
  <c r="G24" i="32"/>
  <c r="G17" i="32"/>
  <c r="G106" i="32"/>
  <c r="G79" i="32"/>
  <c r="G66" i="32"/>
  <c r="G10" i="32"/>
  <c r="G23" i="32"/>
  <c r="G16" i="32"/>
  <c r="G101" i="32"/>
  <c r="G74" i="32"/>
  <c r="G61" i="32"/>
  <c r="G48" i="32"/>
  <c r="G35" i="32"/>
  <c r="G90" i="32"/>
  <c r="G34" i="32"/>
  <c r="G15" i="32"/>
  <c r="G69" i="32"/>
  <c r="G55" i="32"/>
  <c r="G43" i="32"/>
  <c r="G36" i="32"/>
  <c r="G33" i="32"/>
  <c r="G22" i="32"/>
  <c r="G85" i="32"/>
  <c r="G32" i="32"/>
  <c r="G64" i="32"/>
  <c r="G37" i="32"/>
  <c r="G80" i="32"/>
  <c r="G31" i="32"/>
  <c r="G30" i="32"/>
  <c r="G21" i="32"/>
  <c r="G14" i="32"/>
  <c r="G12" i="32"/>
  <c r="G49" i="32"/>
  <c r="G44" i="32"/>
  <c r="G38" i="32"/>
  <c r="G26" i="32"/>
  <c r="G25" i="32"/>
  <c r="G18" i="32"/>
  <c r="G75" i="32"/>
  <c r="G29" i="32"/>
  <c r="G20" i="32"/>
  <c r="G59" i="32"/>
  <c r="G56" i="32"/>
  <c r="G53" i="32"/>
  <c r="G70" i="32"/>
  <c r="G45" i="32"/>
  <c r="G39" i="32"/>
  <c r="G28" i="32"/>
  <c r="G13" i="32"/>
  <c r="G99" i="32"/>
  <c r="G86" i="32"/>
  <c r="G19" i="32"/>
  <c r="G105" i="32"/>
  <c r="G65" i="32"/>
  <c r="G50" i="32"/>
  <c r="G40" i="32"/>
  <c r="G27" i="32"/>
  <c r="G94" i="32"/>
  <c r="G81" i="32"/>
  <c r="G46" i="32"/>
  <c r="G9" i="32"/>
  <c r="G7" i="32"/>
  <c r="G8" i="32"/>
  <c r="B234" i="15"/>
  <c r="C233" i="15"/>
  <c r="M4" i="24"/>
  <c r="M5" i="24"/>
  <c r="M6" i="24"/>
  <c r="M7" i="24"/>
  <c r="M8" i="24"/>
  <c r="M9" i="24"/>
  <c r="M10" i="24"/>
  <c r="M11" i="24"/>
  <c r="M12" i="24"/>
  <c r="M13" i="24"/>
  <c r="M14" i="24"/>
  <c r="M15" i="24"/>
  <c r="M16" i="24"/>
  <c r="M17" i="24"/>
  <c r="M18" i="24"/>
  <c r="M19" i="24"/>
  <c r="M20" i="24"/>
  <c r="M21" i="24"/>
  <c r="M22" i="24"/>
  <c r="M23" i="24"/>
  <c r="M24" i="24"/>
  <c r="O4" i="24"/>
  <c r="O5" i="24"/>
  <c r="O6" i="24"/>
  <c r="O7" i="24"/>
  <c r="O8" i="24"/>
  <c r="O9" i="24"/>
  <c r="O10" i="24"/>
  <c r="O11" i="24"/>
  <c r="O12" i="24"/>
  <c r="O13" i="24"/>
  <c r="O14" i="24"/>
  <c r="O15" i="24"/>
  <c r="O16" i="24"/>
  <c r="O17" i="24"/>
  <c r="O18" i="24"/>
  <c r="O19" i="24"/>
  <c r="O20" i="24"/>
  <c r="O21" i="24"/>
  <c r="O22" i="24"/>
  <c r="O23" i="24"/>
  <c r="O24" i="24"/>
  <c r="K7" i="33" l="1"/>
  <c r="M8" i="33"/>
  <c r="L13" i="33"/>
  <c r="L18" i="33"/>
  <c r="L23" i="33"/>
  <c r="L28" i="33"/>
  <c r="L33" i="33"/>
  <c r="L38" i="33"/>
  <c r="L43" i="33"/>
  <c r="L48" i="33"/>
  <c r="L53" i="33"/>
  <c r="L58" i="33"/>
  <c r="L63" i="33"/>
  <c r="L68" i="33"/>
  <c r="L73" i="33"/>
  <c r="L78" i="33"/>
  <c r="L83" i="33"/>
  <c r="L88" i="33"/>
  <c r="L93" i="33"/>
  <c r="L98" i="33"/>
  <c r="L103" i="33"/>
  <c r="L108" i="33"/>
  <c r="L10" i="33"/>
  <c r="L15" i="33"/>
  <c r="L20" i="33"/>
  <c r="L25" i="33"/>
  <c r="L30" i="33"/>
  <c r="L35" i="33"/>
  <c r="L40" i="33"/>
  <c r="L45" i="33"/>
  <c r="L50" i="33"/>
  <c r="L55" i="33"/>
  <c r="L60" i="33"/>
  <c r="L65" i="33"/>
  <c r="L70" i="33"/>
  <c r="L75" i="33"/>
  <c r="L80" i="33"/>
  <c r="L85" i="33"/>
  <c r="L90" i="33"/>
  <c r="L95" i="33"/>
  <c r="L100" i="33"/>
  <c r="L105" i="33"/>
  <c r="L12" i="33"/>
  <c r="L17" i="33"/>
  <c r="L22" i="33"/>
  <c r="L27" i="33"/>
  <c r="L32" i="33"/>
  <c r="L37" i="33"/>
  <c r="L42" i="33"/>
  <c r="L47" i="33"/>
  <c r="L52" i="33"/>
  <c r="L57" i="33"/>
  <c r="L62" i="33"/>
  <c r="L67" i="33"/>
  <c r="L72" i="33"/>
  <c r="L77" i="33"/>
  <c r="L82" i="33"/>
  <c r="L87" i="33"/>
  <c r="L92" i="33"/>
  <c r="L97" i="33"/>
  <c r="L102" i="33"/>
  <c r="L107" i="33"/>
  <c r="L9" i="33"/>
  <c r="L14" i="33"/>
  <c r="L19" i="33"/>
  <c r="L24" i="33"/>
  <c r="L29" i="33"/>
  <c r="L34" i="33"/>
  <c r="L39" i="33"/>
  <c r="L44" i="33"/>
  <c r="L49" i="33"/>
  <c r="L54" i="33"/>
  <c r="L59" i="33"/>
  <c r="L64" i="33"/>
  <c r="L69" i="33"/>
  <c r="L74" i="33"/>
  <c r="L79" i="33"/>
  <c r="L84" i="33"/>
  <c r="L89" i="33"/>
  <c r="L94" i="33"/>
  <c r="L99" i="33"/>
  <c r="L104" i="33"/>
  <c r="L16" i="33"/>
  <c r="L41" i="33"/>
  <c r="L106" i="33"/>
  <c r="L96" i="33"/>
  <c r="L76" i="33"/>
  <c r="L71" i="33"/>
  <c r="L101" i="33"/>
  <c r="L11" i="33"/>
  <c r="L36" i="33"/>
  <c r="L91" i="33"/>
  <c r="L86" i="33"/>
  <c r="L81" i="33"/>
  <c r="L31" i="33"/>
  <c r="L66" i="33"/>
  <c r="L61" i="33"/>
  <c r="L56" i="33"/>
  <c r="L26" i="33"/>
  <c r="L51" i="33"/>
  <c r="L21" i="33"/>
  <c r="L46" i="33"/>
  <c r="I6" i="32"/>
  <c r="H103" i="32"/>
  <c r="H98" i="32"/>
  <c r="H93" i="32"/>
  <c r="H88" i="32"/>
  <c r="H83" i="32"/>
  <c r="H78" i="32"/>
  <c r="H73" i="32"/>
  <c r="H68" i="32"/>
  <c r="H63" i="32"/>
  <c r="H58" i="32"/>
  <c r="H53" i="32"/>
  <c r="H102" i="32"/>
  <c r="H97" i="32"/>
  <c r="H92" i="32"/>
  <c r="H87" i="32"/>
  <c r="H82" i="32"/>
  <c r="H77" i="32"/>
  <c r="H72" i="32"/>
  <c r="H67" i="32"/>
  <c r="H62" i="32"/>
  <c r="H57" i="32"/>
  <c r="H52" i="32"/>
  <c r="H104" i="32"/>
  <c r="H91" i="32"/>
  <c r="H100" i="32"/>
  <c r="H96" i="32"/>
  <c r="H35" i="32"/>
  <c r="H105" i="32"/>
  <c r="H84" i="32"/>
  <c r="H71" i="32"/>
  <c r="H54" i="32"/>
  <c r="H51" i="32"/>
  <c r="H24" i="32"/>
  <c r="H17" i="32"/>
  <c r="H47" i="32"/>
  <c r="H106" i="32"/>
  <c r="H79" i="32"/>
  <c r="H66" i="32"/>
  <c r="H10" i="32"/>
  <c r="H95" i="32"/>
  <c r="H42" i="32"/>
  <c r="H23" i="32"/>
  <c r="H16" i="32"/>
  <c r="H101" i="32"/>
  <c r="H74" i="32"/>
  <c r="H61" i="32"/>
  <c r="H48" i="32"/>
  <c r="H90" i="32"/>
  <c r="H34" i="32"/>
  <c r="H15" i="32"/>
  <c r="H69" i="32"/>
  <c r="H55" i="32"/>
  <c r="H43" i="32"/>
  <c r="H36" i="32"/>
  <c r="H33" i="32"/>
  <c r="H22" i="32"/>
  <c r="H85" i="32"/>
  <c r="H32" i="32"/>
  <c r="H64" i="32"/>
  <c r="H37" i="32"/>
  <c r="H80" i="32"/>
  <c r="H31" i="32"/>
  <c r="H30" i="32"/>
  <c r="H21" i="32"/>
  <c r="H14" i="32"/>
  <c r="H49" i="32"/>
  <c r="H44" i="32"/>
  <c r="H38" i="32"/>
  <c r="H75" i="32"/>
  <c r="H29" i="32"/>
  <c r="H20" i="32"/>
  <c r="H89" i="32"/>
  <c r="H76" i="32"/>
  <c r="H60" i="32"/>
  <c r="H41" i="32"/>
  <c r="H11" i="32"/>
  <c r="H59" i="32"/>
  <c r="H56" i="32"/>
  <c r="H70" i="32"/>
  <c r="H45" i="32"/>
  <c r="H39" i="32"/>
  <c r="H28" i="32"/>
  <c r="H13" i="32"/>
  <c r="H99" i="32"/>
  <c r="H86" i="32"/>
  <c r="H19" i="32"/>
  <c r="H65" i="32"/>
  <c r="H50" i="32"/>
  <c r="H40" i="32"/>
  <c r="H27" i="32"/>
  <c r="H94" i="32"/>
  <c r="H81" i="32"/>
  <c r="H46" i="32"/>
  <c r="H26" i="32"/>
  <c r="H25" i="32"/>
  <c r="H18" i="32"/>
  <c r="H12" i="32"/>
  <c r="H8" i="32"/>
  <c r="H9" i="32"/>
  <c r="H7" i="32"/>
  <c r="B235" i="15"/>
  <c r="C234" i="15"/>
  <c r="Q11" i="24"/>
  <c r="P11" i="24" s="1"/>
  <c r="Q23" i="24"/>
  <c r="P23" i="24" s="1"/>
  <c r="Q19" i="24"/>
  <c r="P19" i="24" s="1"/>
  <c r="AP19" i="24" s="1"/>
  <c r="Q15" i="24"/>
  <c r="P15" i="24" s="1"/>
  <c r="AP15" i="24" s="1"/>
  <c r="Q7" i="24"/>
  <c r="P7" i="24" s="1"/>
  <c r="AP7" i="24" s="1"/>
  <c r="Q22" i="24"/>
  <c r="P22" i="24" s="1"/>
  <c r="AP22" i="24" s="1"/>
  <c r="Q18" i="24"/>
  <c r="P18" i="24" s="1"/>
  <c r="AP18" i="24" s="1"/>
  <c r="Q14" i="24"/>
  <c r="P14" i="24" s="1"/>
  <c r="AP14" i="24" s="1"/>
  <c r="Q10" i="24"/>
  <c r="P10" i="24" s="1"/>
  <c r="AP10" i="24" s="1"/>
  <c r="Q6" i="24"/>
  <c r="P6" i="24" s="1"/>
  <c r="AP6" i="24" s="1"/>
  <c r="Q21" i="24"/>
  <c r="P21" i="24" s="1"/>
  <c r="AP21" i="24" s="1"/>
  <c r="Q17" i="24"/>
  <c r="P17" i="24" s="1"/>
  <c r="AP17" i="24" s="1"/>
  <c r="Q13" i="24"/>
  <c r="P13" i="24" s="1"/>
  <c r="AP13" i="24" s="1"/>
  <c r="Q9" i="24"/>
  <c r="P9" i="24" s="1"/>
  <c r="AP9" i="24" s="1"/>
  <c r="Q5" i="24"/>
  <c r="P5" i="24" s="1"/>
  <c r="Q24" i="24"/>
  <c r="P24" i="24" s="1"/>
  <c r="AP24" i="24" s="1"/>
  <c r="Q20" i="24"/>
  <c r="P20" i="24" s="1"/>
  <c r="AP20" i="24" s="1"/>
  <c r="Q16" i="24"/>
  <c r="P16" i="24" s="1"/>
  <c r="AP16" i="24" s="1"/>
  <c r="Q12" i="24"/>
  <c r="P12" i="24" s="1"/>
  <c r="AP12" i="24" s="1"/>
  <c r="Q8" i="24"/>
  <c r="P8" i="24" s="1"/>
  <c r="AP8" i="24" s="1"/>
  <c r="Q4" i="24"/>
  <c r="P4" i="24" s="1"/>
  <c r="AP4" i="24" s="1"/>
  <c r="L7" i="33" l="1"/>
  <c r="N8" i="33"/>
  <c r="M13" i="33"/>
  <c r="M18" i="33"/>
  <c r="M23" i="33"/>
  <c r="M28" i="33"/>
  <c r="M33" i="33"/>
  <c r="M38" i="33"/>
  <c r="M43" i="33"/>
  <c r="M48" i="33"/>
  <c r="M53" i="33"/>
  <c r="M58" i="33"/>
  <c r="M63" i="33"/>
  <c r="M68" i="33"/>
  <c r="M73" i="33"/>
  <c r="M78" i="33"/>
  <c r="M83" i="33"/>
  <c r="M88" i="33"/>
  <c r="M93" i="33"/>
  <c r="M98" i="33"/>
  <c r="M103" i="33"/>
  <c r="M108" i="33"/>
  <c r="M10" i="33"/>
  <c r="M15" i="33"/>
  <c r="M20" i="33"/>
  <c r="M25" i="33"/>
  <c r="M30" i="33"/>
  <c r="M35" i="33"/>
  <c r="M40" i="33"/>
  <c r="M45" i="33"/>
  <c r="M50" i="33"/>
  <c r="M55" i="33"/>
  <c r="M60" i="33"/>
  <c r="M65" i="33"/>
  <c r="M70" i="33"/>
  <c r="M75" i="33"/>
  <c r="M80" i="33"/>
  <c r="M85" i="33"/>
  <c r="M90" i="33"/>
  <c r="M95" i="33"/>
  <c r="M100" i="33"/>
  <c r="M105" i="33"/>
  <c r="M12" i="33"/>
  <c r="M17" i="33"/>
  <c r="M22" i="33"/>
  <c r="M27" i="33"/>
  <c r="M32" i="33"/>
  <c r="M37" i="33"/>
  <c r="M42" i="33"/>
  <c r="M47" i="33"/>
  <c r="M52" i="33"/>
  <c r="M57" i="33"/>
  <c r="M62" i="33"/>
  <c r="M67" i="33"/>
  <c r="M72" i="33"/>
  <c r="M77" i="33"/>
  <c r="M82" i="33"/>
  <c r="M87" i="33"/>
  <c r="M92" i="33"/>
  <c r="M97" i="33"/>
  <c r="M102" i="33"/>
  <c r="M107" i="33"/>
  <c r="M9" i="33"/>
  <c r="M69" i="33"/>
  <c r="M16" i="33"/>
  <c r="M41" i="33"/>
  <c r="M64" i="33"/>
  <c r="M54" i="33"/>
  <c r="M101" i="33"/>
  <c r="M81" i="33"/>
  <c r="M76" i="33"/>
  <c r="M19" i="33"/>
  <c r="M61" i="33"/>
  <c r="M21" i="33"/>
  <c r="M34" i="33"/>
  <c r="M79" i="33"/>
  <c r="M29" i="33"/>
  <c r="M59" i="33"/>
  <c r="M106" i="33"/>
  <c r="M96" i="33"/>
  <c r="M46" i="33"/>
  <c r="M11" i="33"/>
  <c r="M36" i="33"/>
  <c r="M91" i="33"/>
  <c r="M24" i="33"/>
  <c r="M49" i="33"/>
  <c r="M86" i="33"/>
  <c r="M74" i="33"/>
  <c r="M31" i="33"/>
  <c r="M71" i="33"/>
  <c r="M44" i="33"/>
  <c r="M66" i="33"/>
  <c r="M56" i="33"/>
  <c r="M26" i="33"/>
  <c r="M51" i="33"/>
  <c r="M104" i="33"/>
  <c r="M14" i="33"/>
  <c r="M39" i="33"/>
  <c r="M99" i="33"/>
  <c r="M94" i="33"/>
  <c r="M89" i="33"/>
  <c r="M84" i="33"/>
  <c r="J6" i="32"/>
  <c r="I100" i="32"/>
  <c r="I58" i="32"/>
  <c r="I52" i="32"/>
  <c r="I96" i="32"/>
  <c r="I82" i="32"/>
  <c r="I68" i="32"/>
  <c r="I35" i="32"/>
  <c r="I30" i="32"/>
  <c r="I25" i="32"/>
  <c r="I20" i="32"/>
  <c r="I15" i="32"/>
  <c r="I105" i="32"/>
  <c r="I101" i="32"/>
  <c r="I87" i="32"/>
  <c r="I73" i="32"/>
  <c r="I64" i="32"/>
  <c r="I59" i="32"/>
  <c r="I84" i="32"/>
  <c r="I71" i="32"/>
  <c r="I54" i="32"/>
  <c r="I51" i="32"/>
  <c r="I24" i="32"/>
  <c r="I17" i="32"/>
  <c r="I57" i="32"/>
  <c r="I47" i="32"/>
  <c r="I106" i="32"/>
  <c r="I79" i="32"/>
  <c r="I66" i="32"/>
  <c r="I10" i="32"/>
  <c r="I95" i="32"/>
  <c r="I42" i="32"/>
  <c r="I23" i="32"/>
  <c r="I16" i="32"/>
  <c r="I103" i="32"/>
  <c r="I74" i="32"/>
  <c r="I63" i="32"/>
  <c r="I61" i="32"/>
  <c r="I48" i="32"/>
  <c r="I90" i="32"/>
  <c r="I34" i="32"/>
  <c r="I98" i="32"/>
  <c r="I69" i="32"/>
  <c r="I55" i="32"/>
  <c r="I43" i="32"/>
  <c r="I36" i="32"/>
  <c r="I33" i="32"/>
  <c r="I22" i="32"/>
  <c r="I85" i="32"/>
  <c r="I32" i="32"/>
  <c r="I93" i="32"/>
  <c r="I77" i="32"/>
  <c r="I37" i="32"/>
  <c r="I80" i="32"/>
  <c r="I31" i="32"/>
  <c r="I21" i="32"/>
  <c r="I14" i="32"/>
  <c r="I88" i="32"/>
  <c r="I72" i="32"/>
  <c r="I49" i="32"/>
  <c r="I44" i="32"/>
  <c r="I38" i="32"/>
  <c r="I75" i="32"/>
  <c r="I29" i="32"/>
  <c r="I104" i="32"/>
  <c r="I91" i="32"/>
  <c r="I83" i="32"/>
  <c r="I67" i="32"/>
  <c r="I56" i="32"/>
  <c r="I70" i="32"/>
  <c r="I53" i="32"/>
  <c r="I45" i="32"/>
  <c r="I39" i="32"/>
  <c r="I28" i="32"/>
  <c r="I13" i="32"/>
  <c r="I102" i="32"/>
  <c r="I99" i="32"/>
  <c r="I86" i="32"/>
  <c r="I78" i="32"/>
  <c r="I62" i="32"/>
  <c r="I19" i="32"/>
  <c r="I65" i="32"/>
  <c r="I50" i="32"/>
  <c r="I40" i="32"/>
  <c r="I27" i="32"/>
  <c r="I97" i="32"/>
  <c r="I94" i="32"/>
  <c r="I81" i="32"/>
  <c r="I46" i="32"/>
  <c r="I26" i="32"/>
  <c r="I18" i="32"/>
  <c r="I12" i="32"/>
  <c r="I92" i="32"/>
  <c r="I89" i="32"/>
  <c r="I76" i="32"/>
  <c r="I60" i="32"/>
  <c r="I41" i="32"/>
  <c r="I11" i="32"/>
  <c r="I7" i="32"/>
  <c r="I8" i="32"/>
  <c r="I9" i="32"/>
  <c r="B236" i="15"/>
  <c r="C235" i="15"/>
  <c r="O8" i="33" l="1"/>
  <c r="N13" i="33"/>
  <c r="N18" i="33"/>
  <c r="N23" i="33"/>
  <c r="N28" i="33"/>
  <c r="N33" i="33"/>
  <c r="N38" i="33"/>
  <c r="N43" i="33"/>
  <c r="N48" i="33"/>
  <c r="N53" i="33"/>
  <c r="N58" i="33"/>
  <c r="N63" i="33"/>
  <c r="N68" i="33"/>
  <c r="N73" i="33"/>
  <c r="N78" i="33"/>
  <c r="N83" i="33"/>
  <c r="N88" i="33"/>
  <c r="N93" i="33"/>
  <c r="N98" i="33"/>
  <c r="N103" i="33"/>
  <c r="N108" i="33"/>
  <c r="N10" i="33"/>
  <c r="N15" i="33"/>
  <c r="N20" i="33"/>
  <c r="N25" i="33"/>
  <c r="N30" i="33"/>
  <c r="N35" i="33"/>
  <c r="N40" i="33"/>
  <c r="N45" i="33"/>
  <c r="N50" i="33"/>
  <c r="N55" i="33"/>
  <c r="N60" i="33"/>
  <c r="N65" i="33"/>
  <c r="N70" i="33"/>
  <c r="N75" i="33"/>
  <c r="N80" i="33"/>
  <c r="N85" i="33"/>
  <c r="N90" i="33"/>
  <c r="N95" i="33"/>
  <c r="N100" i="33"/>
  <c r="N105" i="33"/>
  <c r="N12" i="33"/>
  <c r="N17" i="33"/>
  <c r="N22" i="33"/>
  <c r="N27" i="33"/>
  <c r="N32" i="33"/>
  <c r="N37" i="33"/>
  <c r="N42" i="33"/>
  <c r="N47" i="33"/>
  <c r="N52" i="33"/>
  <c r="N57" i="33"/>
  <c r="N62" i="33"/>
  <c r="N67" i="33"/>
  <c r="N72" i="33"/>
  <c r="N77" i="33"/>
  <c r="N82" i="33"/>
  <c r="N87" i="33"/>
  <c r="N92" i="33"/>
  <c r="N97" i="33"/>
  <c r="N102" i="33"/>
  <c r="N107" i="33"/>
  <c r="N14" i="33"/>
  <c r="N19" i="33"/>
  <c r="N24" i="33"/>
  <c r="N29" i="33"/>
  <c r="N34" i="33"/>
  <c r="N39" i="33"/>
  <c r="N44" i="33"/>
  <c r="N49" i="33"/>
  <c r="N54" i="33"/>
  <c r="N59" i="33"/>
  <c r="N64" i="33"/>
  <c r="N69" i="33"/>
  <c r="N74" i="33"/>
  <c r="N79" i="33"/>
  <c r="N84" i="33"/>
  <c r="N89" i="33"/>
  <c r="N94" i="33"/>
  <c r="N99" i="33"/>
  <c r="N104" i="33"/>
  <c r="N106" i="33"/>
  <c r="N86" i="33"/>
  <c r="N81" i="33"/>
  <c r="N66" i="33"/>
  <c r="N9" i="33"/>
  <c r="N46" i="33"/>
  <c r="N16" i="33"/>
  <c r="N41" i="33"/>
  <c r="N31" i="33"/>
  <c r="N101" i="33"/>
  <c r="N96" i="33"/>
  <c r="N11" i="33"/>
  <c r="N36" i="33"/>
  <c r="N91" i="33"/>
  <c r="N76" i="33"/>
  <c r="N71" i="33"/>
  <c r="N61" i="33"/>
  <c r="N56" i="33"/>
  <c r="N26" i="33"/>
  <c r="N51" i="33"/>
  <c r="N21" i="33"/>
  <c r="M7" i="33"/>
  <c r="J106" i="32"/>
  <c r="J101" i="32"/>
  <c r="J96" i="32"/>
  <c r="J91" i="32"/>
  <c r="J86" i="32"/>
  <c r="J81" i="32"/>
  <c r="J76" i="32"/>
  <c r="J71" i="32"/>
  <c r="J66" i="32"/>
  <c r="J61" i="32"/>
  <c r="J56" i="32"/>
  <c r="J51" i="32"/>
  <c r="J46" i="32"/>
  <c r="J41" i="32"/>
  <c r="J36" i="32"/>
  <c r="J103" i="32"/>
  <c r="J98" i="32"/>
  <c r="J93" i="32"/>
  <c r="J88" i="32"/>
  <c r="J83" i="32"/>
  <c r="J78" i="32"/>
  <c r="J73" i="32"/>
  <c r="J68" i="32"/>
  <c r="J63" i="32"/>
  <c r="J58" i="32"/>
  <c r="J53" i="32"/>
  <c r="J48" i="32"/>
  <c r="J43" i="32"/>
  <c r="J38" i="32"/>
  <c r="J102" i="32"/>
  <c r="J97" i="32"/>
  <c r="J92" i="32"/>
  <c r="J87" i="32"/>
  <c r="J82" i="32"/>
  <c r="J77" i="32"/>
  <c r="J72" i="32"/>
  <c r="J67" i="32"/>
  <c r="J62" i="32"/>
  <c r="J57" i="32"/>
  <c r="J52" i="32"/>
  <c r="J35" i="32"/>
  <c r="J30" i="32"/>
  <c r="J25" i="32"/>
  <c r="J105" i="32"/>
  <c r="J64" i="32"/>
  <c r="J59" i="32"/>
  <c r="J100" i="32"/>
  <c r="J47" i="32"/>
  <c r="J79" i="32"/>
  <c r="J10" i="32"/>
  <c r="J95" i="32"/>
  <c r="J42" i="32"/>
  <c r="J23" i="32"/>
  <c r="J16" i="32"/>
  <c r="J74" i="32"/>
  <c r="J90" i="32"/>
  <c r="J34" i="32"/>
  <c r="J69" i="32"/>
  <c r="J55" i="32"/>
  <c r="J33" i="32"/>
  <c r="J22" i="32"/>
  <c r="J15" i="32"/>
  <c r="J85" i="32"/>
  <c r="J32" i="32"/>
  <c r="J9" i="32"/>
  <c r="J37" i="32"/>
  <c r="J80" i="32"/>
  <c r="J31" i="32"/>
  <c r="J21" i="32"/>
  <c r="J14" i="32"/>
  <c r="J8" i="32"/>
  <c r="J49" i="32"/>
  <c r="J44" i="32"/>
  <c r="J75" i="32"/>
  <c r="J29" i="32"/>
  <c r="J104" i="32"/>
  <c r="J20" i="32"/>
  <c r="J70" i="32"/>
  <c r="J45" i="32"/>
  <c r="J39" i="32"/>
  <c r="J28" i="32"/>
  <c r="J13" i="32"/>
  <c r="J84" i="32"/>
  <c r="J54" i="32"/>
  <c r="J24" i="32"/>
  <c r="J17" i="32"/>
  <c r="J99" i="32"/>
  <c r="J19" i="32"/>
  <c r="J65" i="32"/>
  <c r="J50" i="32"/>
  <c r="J40" i="32"/>
  <c r="J27" i="32"/>
  <c r="J94" i="32"/>
  <c r="J26" i="32"/>
  <c r="J18" i="32"/>
  <c r="J12" i="32"/>
  <c r="J89" i="32"/>
  <c r="J60" i="32"/>
  <c r="J11" i="32"/>
  <c r="J7" i="32"/>
  <c r="K6" i="32"/>
  <c r="B237" i="15"/>
  <c r="C236" i="15"/>
  <c r="N7" i="33" l="1"/>
  <c r="P8" i="33"/>
  <c r="O11" i="33"/>
  <c r="O16" i="33"/>
  <c r="O21" i="33"/>
  <c r="O26" i="33"/>
  <c r="O31" i="33"/>
  <c r="O36" i="33"/>
  <c r="O41" i="33"/>
  <c r="O46" i="33"/>
  <c r="O51" i="33"/>
  <c r="O56" i="33"/>
  <c r="O61" i="33"/>
  <c r="O66" i="33"/>
  <c r="O71" i="33"/>
  <c r="O76" i="33"/>
  <c r="O81" i="33"/>
  <c r="O86" i="33"/>
  <c r="O91" i="33"/>
  <c r="O96" i="33"/>
  <c r="O101" i="33"/>
  <c r="O106" i="33"/>
  <c r="O13" i="33"/>
  <c r="O18" i="33"/>
  <c r="O23" i="33"/>
  <c r="O28" i="33"/>
  <c r="O33" i="33"/>
  <c r="O38" i="33"/>
  <c r="O43" i="33"/>
  <c r="O48" i="33"/>
  <c r="O53" i="33"/>
  <c r="O58" i="33"/>
  <c r="O63" i="33"/>
  <c r="O68" i="33"/>
  <c r="O73" i="33"/>
  <c r="O78" i="33"/>
  <c r="O83" i="33"/>
  <c r="O88" i="33"/>
  <c r="O93" i="33"/>
  <c r="O98" i="33"/>
  <c r="O103" i="33"/>
  <c r="O108" i="33"/>
  <c r="O10" i="33"/>
  <c r="O15" i="33"/>
  <c r="O20" i="33"/>
  <c r="O25" i="33"/>
  <c r="O30" i="33"/>
  <c r="O35" i="33"/>
  <c r="O40" i="33"/>
  <c r="O45" i="33"/>
  <c r="O50" i="33"/>
  <c r="O55" i="33"/>
  <c r="O60" i="33"/>
  <c r="O65" i="33"/>
  <c r="O70" i="33"/>
  <c r="O75" i="33"/>
  <c r="O80" i="33"/>
  <c r="O85" i="33"/>
  <c r="O90" i="33"/>
  <c r="O95" i="33"/>
  <c r="O100" i="33"/>
  <c r="O105" i="33"/>
  <c r="O12" i="33"/>
  <c r="O17" i="33"/>
  <c r="O22" i="33"/>
  <c r="O27" i="33"/>
  <c r="O32" i="33"/>
  <c r="O37" i="33"/>
  <c r="O42" i="33"/>
  <c r="O47" i="33"/>
  <c r="O52" i="33"/>
  <c r="O57" i="33"/>
  <c r="O62" i="33"/>
  <c r="O67" i="33"/>
  <c r="O72" i="33"/>
  <c r="O77" i="33"/>
  <c r="O82" i="33"/>
  <c r="O87" i="33"/>
  <c r="O92" i="33"/>
  <c r="O97" i="33"/>
  <c r="O102" i="33"/>
  <c r="O107" i="33"/>
  <c r="O9" i="33"/>
  <c r="O14" i="33"/>
  <c r="O19" i="33"/>
  <c r="O24" i="33"/>
  <c r="O29" i="33"/>
  <c r="O34" i="33"/>
  <c r="O39" i="33"/>
  <c r="O44" i="33"/>
  <c r="O49" i="33"/>
  <c r="O74" i="33"/>
  <c r="O69" i="33"/>
  <c r="O59" i="33"/>
  <c r="O84" i="33"/>
  <c r="O64" i="33"/>
  <c r="O54" i="33"/>
  <c r="O79" i="33"/>
  <c r="O104" i="33"/>
  <c r="O99" i="33"/>
  <c r="O94" i="33"/>
  <c r="O89" i="33"/>
  <c r="K102" i="32"/>
  <c r="K97" i="32"/>
  <c r="K92" i="32"/>
  <c r="K87" i="32"/>
  <c r="K82" i="32"/>
  <c r="K77" i="32"/>
  <c r="K72" i="32"/>
  <c r="K67" i="32"/>
  <c r="K62" i="32"/>
  <c r="K106" i="32"/>
  <c r="K101" i="32"/>
  <c r="K96" i="32"/>
  <c r="K91" i="32"/>
  <c r="K86" i="32"/>
  <c r="K81" i="32"/>
  <c r="K76" i="32"/>
  <c r="K71" i="32"/>
  <c r="K66" i="32"/>
  <c r="K61" i="32"/>
  <c r="K56" i="32"/>
  <c r="K51" i="32"/>
  <c r="K46" i="32"/>
  <c r="K41" i="32"/>
  <c r="K105" i="32"/>
  <c r="K68" i="32"/>
  <c r="K64" i="32"/>
  <c r="K59" i="32"/>
  <c r="K73" i="32"/>
  <c r="K69" i="32"/>
  <c r="K60" i="32"/>
  <c r="K53" i="32"/>
  <c r="K79" i="32"/>
  <c r="K57" i="32"/>
  <c r="K10" i="32"/>
  <c r="K95" i="32"/>
  <c r="K42" i="32"/>
  <c r="K23" i="32"/>
  <c r="K16" i="32"/>
  <c r="K74" i="32"/>
  <c r="K103" i="32"/>
  <c r="K90" i="32"/>
  <c r="K63" i="32"/>
  <c r="K48" i="32"/>
  <c r="K34" i="32"/>
  <c r="K55" i="32"/>
  <c r="K33" i="32"/>
  <c r="K22" i="32"/>
  <c r="K15" i="32"/>
  <c r="K98" i="32"/>
  <c r="K85" i="32"/>
  <c r="K43" i="32"/>
  <c r="K36" i="32"/>
  <c r="K35" i="32"/>
  <c r="K32" i="32"/>
  <c r="K37" i="32"/>
  <c r="K93" i="32"/>
  <c r="K80" i="32"/>
  <c r="K31" i="32"/>
  <c r="K21" i="32"/>
  <c r="K14" i="32"/>
  <c r="K58" i="32"/>
  <c r="K52" i="32"/>
  <c r="K49" i="32"/>
  <c r="K44" i="32"/>
  <c r="K88" i="32"/>
  <c r="K75" i="32"/>
  <c r="K38" i="32"/>
  <c r="K30" i="32"/>
  <c r="K29" i="32"/>
  <c r="K104" i="32"/>
  <c r="K20" i="32"/>
  <c r="K83" i="32"/>
  <c r="K70" i="32"/>
  <c r="K45" i="32"/>
  <c r="K39" i="32"/>
  <c r="K28" i="32"/>
  <c r="K13" i="32"/>
  <c r="K99" i="32"/>
  <c r="K19" i="32"/>
  <c r="K100" i="32"/>
  <c r="K47" i="32"/>
  <c r="K78" i="32"/>
  <c r="K65" i="32"/>
  <c r="K50" i="32"/>
  <c r="K40" i="32"/>
  <c r="K27" i="32"/>
  <c r="K94" i="32"/>
  <c r="K26" i="32"/>
  <c r="K18" i="32"/>
  <c r="K12" i="32"/>
  <c r="K89" i="32"/>
  <c r="K11" i="32"/>
  <c r="K25" i="32"/>
  <c r="K84" i="32"/>
  <c r="K54" i="32"/>
  <c r="K24" i="32"/>
  <c r="K17" i="32"/>
  <c r="K7" i="32"/>
  <c r="K8" i="32"/>
  <c r="L6" i="32"/>
  <c r="K9" i="32"/>
  <c r="B238" i="15"/>
  <c r="C237" i="15"/>
  <c r="O7" i="33" l="1"/>
  <c r="Q8" i="33"/>
  <c r="P11" i="33"/>
  <c r="P16" i="33"/>
  <c r="P21" i="33"/>
  <c r="P26" i="33"/>
  <c r="P31" i="33"/>
  <c r="P36" i="33"/>
  <c r="P41" i="33"/>
  <c r="P46" i="33"/>
  <c r="P51" i="33"/>
  <c r="P56" i="33"/>
  <c r="P61" i="33"/>
  <c r="P66" i="33"/>
  <c r="P71" i="33"/>
  <c r="P76" i="33"/>
  <c r="P81" i="33"/>
  <c r="P86" i="33"/>
  <c r="P91" i="33"/>
  <c r="P96" i="33"/>
  <c r="P101" i="33"/>
  <c r="P106" i="33"/>
  <c r="P13" i="33"/>
  <c r="P18" i="33"/>
  <c r="P23" i="33"/>
  <c r="P28" i="33"/>
  <c r="P33" i="33"/>
  <c r="P38" i="33"/>
  <c r="P43" i="33"/>
  <c r="P48" i="33"/>
  <c r="P53" i="33"/>
  <c r="P58" i="33"/>
  <c r="P63" i="33"/>
  <c r="P68" i="33"/>
  <c r="P73" i="33"/>
  <c r="P78" i="33"/>
  <c r="P83" i="33"/>
  <c r="P88" i="33"/>
  <c r="P93" i="33"/>
  <c r="P98" i="33"/>
  <c r="P103" i="33"/>
  <c r="P108" i="33"/>
  <c r="P10" i="33"/>
  <c r="P15" i="33"/>
  <c r="P20" i="33"/>
  <c r="P25" i="33"/>
  <c r="P30" i="33"/>
  <c r="P35" i="33"/>
  <c r="P40" i="33"/>
  <c r="P45" i="33"/>
  <c r="P50" i="33"/>
  <c r="P55" i="33"/>
  <c r="P60" i="33"/>
  <c r="P65" i="33"/>
  <c r="P70" i="33"/>
  <c r="P75" i="33"/>
  <c r="P80" i="33"/>
  <c r="P85" i="33"/>
  <c r="P90" i="33"/>
  <c r="P95" i="33"/>
  <c r="P100" i="33"/>
  <c r="P105" i="33"/>
  <c r="P12" i="33"/>
  <c r="P17" i="33"/>
  <c r="P22" i="33"/>
  <c r="P27" i="33"/>
  <c r="P32" i="33"/>
  <c r="P37" i="33"/>
  <c r="P42" i="33"/>
  <c r="P47" i="33"/>
  <c r="P52" i="33"/>
  <c r="P57" i="33"/>
  <c r="P62" i="33"/>
  <c r="P67" i="33"/>
  <c r="P72" i="33"/>
  <c r="P77" i="33"/>
  <c r="P82" i="33"/>
  <c r="P87" i="33"/>
  <c r="P92" i="33"/>
  <c r="P97" i="33"/>
  <c r="P102" i="33"/>
  <c r="P107" i="33"/>
  <c r="P79" i="33"/>
  <c r="P74" i="33"/>
  <c r="P29" i="33"/>
  <c r="P64" i="33"/>
  <c r="P49" i="33"/>
  <c r="P19" i="33"/>
  <c r="P44" i="33"/>
  <c r="P89" i="33"/>
  <c r="P69" i="33"/>
  <c r="P59" i="33"/>
  <c r="P54" i="33"/>
  <c r="P24" i="33"/>
  <c r="P84" i="33"/>
  <c r="P9" i="33"/>
  <c r="P14" i="33"/>
  <c r="P39" i="33"/>
  <c r="P104" i="33"/>
  <c r="P99" i="33"/>
  <c r="P34" i="33"/>
  <c r="P94" i="33"/>
  <c r="L102" i="32"/>
  <c r="L97" i="32"/>
  <c r="L92" i="32"/>
  <c r="L87" i="32"/>
  <c r="L82" i="32"/>
  <c r="L77" i="32"/>
  <c r="L72" i="32"/>
  <c r="L67" i="32"/>
  <c r="L62" i="32"/>
  <c r="L57" i="32"/>
  <c r="L52" i="32"/>
  <c r="L106" i="32"/>
  <c r="L101" i="32"/>
  <c r="L96" i="32"/>
  <c r="L91" i="32"/>
  <c r="L86" i="32"/>
  <c r="L81" i="32"/>
  <c r="L76" i="32"/>
  <c r="L71" i="32"/>
  <c r="L66" i="32"/>
  <c r="L61" i="32"/>
  <c r="L56" i="32"/>
  <c r="L51" i="32"/>
  <c r="L64" i="32"/>
  <c r="L59" i="32"/>
  <c r="L73" i="32"/>
  <c r="L69" i="32"/>
  <c r="L60" i="32"/>
  <c r="L53" i="32"/>
  <c r="L34" i="32"/>
  <c r="L78" i="32"/>
  <c r="L65" i="32"/>
  <c r="L95" i="32"/>
  <c r="L68" i="32"/>
  <c r="L42" i="32"/>
  <c r="L23" i="32"/>
  <c r="L16" i="32"/>
  <c r="L74" i="32"/>
  <c r="L103" i="32"/>
  <c r="L90" i="32"/>
  <c r="L63" i="32"/>
  <c r="L48" i="32"/>
  <c r="L55" i="32"/>
  <c r="L33" i="32"/>
  <c r="L22" i="32"/>
  <c r="L15" i="32"/>
  <c r="L98" i="32"/>
  <c r="L85" i="32"/>
  <c r="L43" i="32"/>
  <c r="L36" i="32"/>
  <c r="L35" i="32"/>
  <c r="L32" i="32"/>
  <c r="L37" i="32"/>
  <c r="L93" i="32"/>
  <c r="L80" i="32"/>
  <c r="L31" i="32"/>
  <c r="L21" i="32"/>
  <c r="L14" i="32"/>
  <c r="L58" i="32"/>
  <c r="L49" i="32"/>
  <c r="L44" i="32"/>
  <c r="L88" i="32"/>
  <c r="L75" i="32"/>
  <c r="L38" i="32"/>
  <c r="L30" i="32"/>
  <c r="L29" i="32"/>
  <c r="L104" i="32"/>
  <c r="L20" i="32"/>
  <c r="L83" i="32"/>
  <c r="L70" i="32"/>
  <c r="L45" i="32"/>
  <c r="L39" i="32"/>
  <c r="L28" i="32"/>
  <c r="L13" i="32"/>
  <c r="L99" i="32"/>
  <c r="L19" i="32"/>
  <c r="L50" i="32"/>
  <c r="L40" i="32"/>
  <c r="L27" i="32"/>
  <c r="L79" i="32"/>
  <c r="L10" i="32"/>
  <c r="L94" i="32"/>
  <c r="L26" i="32"/>
  <c r="L18" i="32"/>
  <c r="L12" i="32"/>
  <c r="L89" i="32"/>
  <c r="L46" i="32"/>
  <c r="L11" i="32"/>
  <c r="L105" i="32"/>
  <c r="L25" i="32"/>
  <c r="L84" i="32"/>
  <c r="L54" i="32"/>
  <c r="L41" i="32"/>
  <c r="L24" i="32"/>
  <c r="L17" i="32"/>
  <c r="L100" i="32"/>
  <c r="L47" i="32"/>
  <c r="M6" i="32"/>
  <c r="L9" i="32"/>
  <c r="L8" i="32"/>
  <c r="L7" i="32"/>
  <c r="B239" i="15"/>
  <c r="C238" i="15"/>
  <c r="P7" i="33" l="1"/>
  <c r="R8" i="33"/>
  <c r="Q95" i="33"/>
  <c r="Q11" i="33"/>
  <c r="Q16" i="33"/>
  <c r="Q21" i="33"/>
  <c r="Q26" i="33"/>
  <c r="Q31" i="33"/>
  <c r="Q36" i="33"/>
  <c r="Q41" i="33"/>
  <c r="Q46" i="33"/>
  <c r="Q51" i="33"/>
  <c r="Q56" i="33"/>
  <c r="Q61" i="33"/>
  <c r="Q66" i="33"/>
  <c r="Q71" i="33"/>
  <c r="Q76" i="33"/>
  <c r="Q81" i="33"/>
  <c r="Q86" i="33"/>
  <c r="Q91" i="33"/>
  <c r="Q96" i="33"/>
  <c r="Q101" i="33"/>
  <c r="Q106" i="33"/>
  <c r="Q45" i="33"/>
  <c r="Q75" i="33"/>
  <c r="Q80" i="33"/>
  <c r="Q13" i="33"/>
  <c r="Q18" i="33"/>
  <c r="Q23" i="33"/>
  <c r="Q28" i="33"/>
  <c r="Q33" i="33"/>
  <c r="Q38" i="33"/>
  <c r="Q43" i="33"/>
  <c r="Q48" i="33"/>
  <c r="Q53" i="33"/>
  <c r="Q58" i="33"/>
  <c r="Q63" i="33"/>
  <c r="Q68" i="33"/>
  <c r="Q73" i="33"/>
  <c r="Q78" i="33"/>
  <c r="Q83" i="33"/>
  <c r="Q88" i="33"/>
  <c r="Q93" i="33"/>
  <c r="Q98" i="33"/>
  <c r="Q103" i="33"/>
  <c r="Q108" i="33"/>
  <c r="Q15" i="33"/>
  <c r="Q10" i="33"/>
  <c r="Q20" i="33"/>
  <c r="Q25" i="33"/>
  <c r="Q30" i="33"/>
  <c r="Q35" i="33"/>
  <c r="Q40" i="33"/>
  <c r="Q50" i="33"/>
  <c r="Q55" i="33"/>
  <c r="Q60" i="33"/>
  <c r="Q65" i="33"/>
  <c r="Q70" i="33"/>
  <c r="Q85" i="33"/>
  <c r="Q90" i="33"/>
  <c r="Q100" i="33"/>
  <c r="Q105" i="33"/>
  <c r="Q22" i="33"/>
  <c r="Q34" i="33"/>
  <c r="Q47" i="33"/>
  <c r="Q84" i="33"/>
  <c r="Q79" i="33"/>
  <c r="Q69" i="33"/>
  <c r="Q97" i="33"/>
  <c r="Q12" i="33"/>
  <c r="Q92" i="33"/>
  <c r="Q77" i="33"/>
  <c r="Q94" i="33"/>
  <c r="Q89" i="33"/>
  <c r="Q74" i="33"/>
  <c r="Q17" i="33"/>
  <c r="Q29" i="33"/>
  <c r="Q42" i="33"/>
  <c r="Q64" i="33"/>
  <c r="Q59" i="33"/>
  <c r="Q107" i="33"/>
  <c r="Q54" i="33"/>
  <c r="Q102" i="33"/>
  <c r="Q24" i="33"/>
  <c r="Q37" i="33"/>
  <c r="Q49" i="33"/>
  <c r="Q87" i="33"/>
  <c r="Q82" i="33"/>
  <c r="Q19" i="33"/>
  <c r="Q32" i="33"/>
  <c r="Q44" i="33"/>
  <c r="Q72" i="33"/>
  <c r="Q67" i="33"/>
  <c r="Q9" i="33"/>
  <c r="Q62" i="33"/>
  <c r="Q57" i="33"/>
  <c r="Q14" i="33"/>
  <c r="Q27" i="33"/>
  <c r="Q39" i="33"/>
  <c r="Q52" i="33"/>
  <c r="Q104" i="33"/>
  <c r="Q99" i="33"/>
  <c r="M96" i="32"/>
  <c r="M82" i="32"/>
  <c r="M73" i="32"/>
  <c r="M69" i="32"/>
  <c r="M60" i="32"/>
  <c r="M53" i="32"/>
  <c r="M34" i="32"/>
  <c r="M29" i="32"/>
  <c r="M24" i="32"/>
  <c r="M19" i="32"/>
  <c r="M101" i="32"/>
  <c r="M87" i="32"/>
  <c r="M78" i="32"/>
  <c r="M65" i="32"/>
  <c r="M74" i="32"/>
  <c r="M54" i="32"/>
  <c r="M106" i="32"/>
  <c r="M103" i="32"/>
  <c r="M90" i="32"/>
  <c r="M66" i="32"/>
  <c r="M63" i="32"/>
  <c r="M48" i="32"/>
  <c r="M55" i="32"/>
  <c r="M33" i="32"/>
  <c r="M22" i="32"/>
  <c r="M15" i="32"/>
  <c r="M98" i="32"/>
  <c r="M85" i="32"/>
  <c r="M61" i="32"/>
  <c r="M43" i="32"/>
  <c r="M36" i="32"/>
  <c r="M35" i="32"/>
  <c r="M32" i="32"/>
  <c r="M37" i="32"/>
  <c r="M93" i="32"/>
  <c r="M80" i="32"/>
  <c r="M31" i="32"/>
  <c r="M21" i="32"/>
  <c r="M14" i="32"/>
  <c r="M58" i="32"/>
  <c r="M49" i="32"/>
  <c r="M44" i="32"/>
  <c r="M88" i="32"/>
  <c r="M77" i="32"/>
  <c r="M75" i="32"/>
  <c r="M52" i="32"/>
  <c r="M38" i="32"/>
  <c r="M30" i="32"/>
  <c r="M104" i="32"/>
  <c r="M64" i="32"/>
  <c r="M20" i="32"/>
  <c r="M83" i="32"/>
  <c r="M72" i="32"/>
  <c r="M70" i="32"/>
  <c r="M45" i="32"/>
  <c r="M39" i="32"/>
  <c r="M28" i="32"/>
  <c r="M13" i="32"/>
  <c r="M99" i="32"/>
  <c r="M91" i="32"/>
  <c r="M67" i="32"/>
  <c r="M56" i="32"/>
  <c r="M50" i="32"/>
  <c r="M40" i="32"/>
  <c r="M27" i="32"/>
  <c r="M94" i="32"/>
  <c r="M59" i="32"/>
  <c r="M95" i="32"/>
  <c r="M71" i="32"/>
  <c r="M68" i="32"/>
  <c r="M57" i="32"/>
  <c r="M51" i="32"/>
  <c r="M42" i="32"/>
  <c r="M23" i="32"/>
  <c r="M16" i="32"/>
  <c r="M102" i="32"/>
  <c r="M86" i="32"/>
  <c r="M62" i="32"/>
  <c r="M26" i="32"/>
  <c r="M18" i="32"/>
  <c r="M12" i="32"/>
  <c r="M89" i="32"/>
  <c r="M46" i="32"/>
  <c r="M11" i="32"/>
  <c r="M105" i="32"/>
  <c r="M97" i="32"/>
  <c r="M81" i="32"/>
  <c r="M25" i="32"/>
  <c r="M84" i="32"/>
  <c r="M41" i="32"/>
  <c r="M17" i="32"/>
  <c r="M100" i="32"/>
  <c r="M92" i="32"/>
  <c r="M76" i="32"/>
  <c r="M47" i="32"/>
  <c r="M79" i="32"/>
  <c r="M10" i="32"/>
  <c r="M7" i="32"/>
  <c r="N6" i="32"/>
  <c r="M8" i="32"/>
  <c r="M9" i="32"/>
  <c r="B240" i="15"/>
  <c r="C239" i="15"/>
  <c r="Q7" i="33" l="1"/>
  <c r="R11" i="33"/>
  <c r="R16" i="33"/>
  <c r="R21" i="33"/>
  <c r="R26" i="33"/>
  <c r="R31" i="33"/>
  <c r="R36" i="33"/>
  <c r="R41" i="33"/>
  <c r="R46" i="33"/>
  <c r="R51" i="33"/>
  <c r="R56" i="33"/>
  <c r="R61" i="33"/>
  <c r="R66" i="33"/>
  <c r="R71" i="33"/>
  <c r="R76" i="33"/>
  <c r="R81" i="33"/>
  <c r="R86" i="33"/>
  <c r="R91" i="33"/>
  <c r="R96" i="33"/>
  <c r="R101" i="33"/>
  <c r="R106" i="33"/>
  <c r="S8" i="33"/>
  <c r="R13" i="33"/>
  <c r="R18" i="33"/>
  <c r="R23" i="33"/>
  <c r="R28" i="33"/>
  <c r="R33" i="33"/>
  <c r="R38" i="33"/>
  <c r="R43" i="33"/>
  <c r="R48" i="33"/>
  <c r="R53" i="33"/>
  <c r="R58" i="33"/>
  <c r="R63" i="33"/>
  <c r="R68" i="33"/>
  <c r="R73" i="33"/>
  <c r="R78" i="33"/>
  <c r="R83" i="33"/>
  <c r="R88" i="33"/>
  <c r="R93" i="33"/>
  <c r="R98" i="33"/>
  <c r="R103" i="33"/>
  <c r="R108" i="33"/>
  <c r="R10" i="33"/>
  <c r="R15" i="33"/>
  <c r="R20" i="33"/>
  <c r="R25" i="33"/>
  <c r="R30" i="33"/>
  <c r="R35" i="33"/>
  <c r="R40" i="33"/>
  <c r="R45" i="33"/>
  <c r="R50" i="33"/>
  <c r="R55" i="33"/>
  <c r="R60" i="33"/>
  <c r="R65" i="33"/>
  <c r="R70" i="33"/>
  <c r="R75" i="33"/>
  <c r="R80" i="33"/>
  <c r="R85" i="33"/>
  <c r="R90" i="33"/>
  <c r="R95" i="33"/>
  <c r="R100" i="33"/>
  <c r="R105" i="33"/>
  <c r="R12" i="33"/>
  <c r="R17" i="33"/>
  <c r="R22" i="33"/>
  <c r="R27" i="33"/>
  <c r="R32" i="33"/>
  <c r="R37" i="33"/>
  <c r="R42" i="33"/>
  <c r="R47" i="33"/>
  <c r="R52" i="33"/>
  <c r="R57" i="33"/>
  <c r="R62" i="33"/>
  <c r="R67" i="33"/>
  <c r="R72" i="33"/>
  <c r="R77" i="33"/>
  <c r="R82" i="33"/>
  <c r="R87" i="33"/>
  <c r="R92" i="33"/>
  <c r="R97" i="33"/>
  <c r="R102" i="33"/>
  <c r="R107" i="33"/>
  <c r="R89" i="33"/>
  <c r="R34" i="33"/>
  <c r="R84" i="33"/>
  <c r="R74" i="33"/>
  <c r="R54" i="33"/>
  <c r="R99" i="33"/>
  <c r="R79" i="33"/>
  <c r="R69" i="33"/>
  <c r="R29" i="33"/>
  <c r="R64" i="33"/>
  <c r="R59" i="33"/>
  <c r="R39" i="33"/>
  <c r="R24" i="33"/>
  <c r="R49" i="33"/>
  <c r="R94" i="33"/>
  <c r="R19" i="33"/>
  <c r="R44" i="33"/>
  <c r="R9" i="33"/>
  <c r="R14" i="33"/>
  <c r="R104" i="33"/>
  <c r="N105" i="32"/>
  <c r="N100" i="32"/>
  <c r="N95" i="32"/>
  <c r="N90" i="32"/>
  <c r="N85" i="32"/>
  <c r="N80" i="32"/>
  <c r="N75" i="32"/>
  <c r="N70" i="32"/>
  <c r="N65" i="32"/>
  <c r="N60" i="32"/>
  <c r="N55" i="32"/>
  <c r="N50" i="32"/>
  <c r="N45" i="32"/>
  <c r="N40" i="32"/>
  <c r="N102" i="32"/>
  <c r="N97" i="32"/>
  <c r="N92" i="32"/>
  <c r="N87" i="32"/>
  <c r="N82" i="32"/>
  <c r="N77" i="32"/>
  <c r="N72" i="32"/>
  <c r="N67" i="32"/>
  <c r="N62" i="32"/>
  <c r="N57" i="32"/>
  <c r="N52" i="32"/>
  <c r="N47" i="32"/>
  <c r="N42" i="32"/>
  <c r="N37" i="32"/>
  <c r="N106" i="32"/>
  <c r="N101" i="32"/>
  <c r="N96" i="32"/>
  <c r="N91" i="32"/>
  <c r="N86" i="32"/>
  <c r="N81" i="32"/>
  <c r="N76" i="32"/>
  <c r="N71" i="32"/>
  <c r="N66" i="32"/>
  <c r="N61" i="32"/>
  <c r="N56" i="32"/>
  <c r="N51" i="32"/>
  <c r="N69" i="32"/>
  <c r="N53" i="32"/>
  <c r="N34" i="32"/>
  <c r="N29" i="32"/>
  <c r="N78" i="32"/>
  <c r="N74" i="32"/>
  <c r="N54" i="32"/>
  <c r="N83" i="32"/>
  <c r="N103" i="32"/>
  <c r="N63" i="32"/>
  <c r="N48" i="32"/>
  <c r="N33" i="32"/>
  <c r="N22" i="32"/>
  <c r="N15" i="32"/>
  <c r="N98" i="32"/>
  <c r="N43" i="32"/>
  <c r="N36" i="32"/>
  <c r="N35" i="32"/>
  <c r="N32" i="32"/>
  <c r="N93" i="32"/>
  <c r="N31" i="32"/>
  <c r="N21" i="32"/>
  <c r="N14" i="32"/>
  <c r="N58" i="32"/>
  <c r="N49" i="32"/>
  <c r="N44" i="32"/>
  <c r="N88" i="32"/>
  <c r="N38" i="32"/>
  <c r="N30" i="32"/>
  <c r="N104" i="32"/>
  <c r="N64" i="32"/>
  <c r="N20" i="32"/>
  <c r="N39" i="32"/>
  <c r="N28" i="32"/>
  <c r="N13" i="32"/>
  <c r="N99" i="32"/>
  <c r="N27" i="32"/>
  <c r="N19" i="32"/>
  <c r="N94" i="32"/>
  <c r="N59" i="32"/>
  <c r="N26" i="32"/>
  <c r="N18" i="32"/>
  <c r="N12" i="32"/>
  <c r="N89" i="32"/>
  <c r="N46" i="32"/>
  <c r="N11" i="32"/>
  <c r="N25" i="32"/>
  <c r="N84" i="32"/>
  <c r="N41" i="32"/>
  <c r="N17" i="32"/>
  <c r="N73" i="32"/>
  <c r="N24" i="32"/>
  <c r="N79" i="32"/>
  <c r="N10" i="32"/>
  <c r="N68" i="32"/>
  <c r="N23" i="32"/>
  <c r="N16" i="32"/>
  <c r="N9" i="32"/>
  <c r="N8" i="32"/>
  <c r="N7" i="32"/>
  <c r="O6" i="32"/>
  <c r="B241" i="15"/>
  <c r="C240" i="15"/>
  <c r="R7" i="33" l="1"/>
  <c r="S14" i="33"/>
  <c r="S19" i="33"/>
  <c r="S24" i="33"/>
  <c r="S29" i="33"/>
  <c r="S34" i="33"/>
  <c r="S39" i="33"/>
  <c r="S44" i="33"/>
  <c r="S49" i="33"/>
  <c r="S54" i="33"/>
  <c r="S59" i="33"/>
  <c r="S64" i="33"/>
  <c r="S69" i="33"/>
  <c r="S74" i="33"/>
  <c r="S79" i="33"/>
  <c r="S84" i="33"/>
  <c r="S89" i="33"/>
  <c r="S94" i="33"/>
  <c r="S99" i="33"/>
  <c r="S104" i="33"/>
  <c r="S11" i="33"/>
  <c r="S16" i="33"/>
  <c r="S21" i="33"/>
  <c r="S26" i="33"/>
  <c r="S31" i="33"/>
  <c r="S36" i="33"/>
  <c r="S41" i="33"/>
  <c r="S46" i="33"/>
  <c r="S51" i="33"/>
  <c r="S56" i="33"/>
  <c r="S61" i="33"/>
  <c r="S66" i="33"/>
  <c r="S71" i="33"/>
  <c r="S76" i="33"/>
  <c r="S81" i="33"/>
  <c r="S86" i="33"/>
  <c r="S91" i="33"/>
  <c r="S96" i="33"/>
  <c r="S101" i="33"/>
  <c r="S106" i="33"/>
  <c r="T8" i="33"/>
  <c r="S13" i="33"/>
  <c r="S18" i="33"/>
  <c r="S23" i="33"/>
  <c r="S28" i="33"/>
  <c r="S33" i="33"/>
  <c r="S38" i="33"/>
  <c r="S43" i="33"/>
  <c r="S48" i="33"/>
  <c r="S53" i="33"/>
  <c r="S58" i="33"/>
  <c r="S63" i="33"/>
  <c r="S68" i="33"/>
  <c r="S73" i="33"/>
  <c r="S78" i="33"/>
  <c r="S83" i="33"/>
  <c r="S88" i="33"/>
  <c r="S93" i="33"/>
  <c r="S98" i="33"/>
  <c r="S103" i="33"/>
  <c r="S108" i="33"/>
  <c r="S10" i="33"/>
  <c r="S15" i="33"/>
  <c r="S20" i="33"/>
  <c r="S25" i="33"/>
  <c r="S30" i="33"/>
  <c r="S35" i="33"/>
  <c r="S40" i="33"/>
  <c r="S45" i="33"/>
  <c r="S50" i="33"/>
  <c r="S55" i="33"/>
  <c r="S60" i="33"/>
  <c r="S65" i="33"/>
  <c r="S70" i="33"/>
  <c r="S75" i="33"/>
  <c r="S80" i="33"/>
  <c r="S85" i="33"/>
  <c r="S90" i="33"/>
  <c r="S95" i="33"/>
  <c r="S100" i="33"/>
  <c r="S105" i="33"/>
  <c r="S12" i="33"/>
  <c r="S17" i="33"/>
  <c r="S22" i="33"/>
  <c r="S27" i="33"/>
  <c r="S32" i="33"/>
  <c r="S37" i="33"/>
  <c r="S42" i="33"/>
  <c r="S47" i="33"/>
  <c r="S102" i="33"/>
  <c r="S97" i="33"/>
  <c r="S82" i="33"/>
  <c r="S107" i="33"/>
  <c r="S92" i="33"/>
  <c r="S87" i="33"/>
  <c r="S77" i="33"/>
  <c r="S72" i="33"/>
  <c r="S67" i="33"/>
  <c r="S62" i="33"/>
  <c r="S9" i="33"/>
  <c r="S57" i="33"/>
  <c r="S52" i="33"/>
  <c r="O106" i="32"/>
  <c r="O101" i="32"/>
  <c r="O96" i="32"/>
  <c r="O91" i="32"/>
  <c r="O86" i="32"/>
  <c r="O81" i="32"/>
  <c r="O76" i="32"/>
  <c r="O71" i="32"/>
  <c r="O66" i="32"/>
  <c r="O61" i="32"/>
  <c r="O105" i="32"/>
  <c r="O100" i="32"/>
  <c r="O95" i="32"/>
  <c r="O90" i="32"/>
  <c r="O85" i="32"/>
  <c r="O80" i="32"/>
  <c r="O75" i="32"/>
  <c r="O70" i="32"/>
  <c r="O65" i="32"/>
  <c r="O60" i="32"/>
  <c r="O55" i="32"/>
  <c r="O50" i="32"/>
  <c r="O45" i="32"/>
  <c r="O40" i="32"/>
  <c r="O78" i="32"/>
  <c r="O87" i="32"/>
  <c r="O74" i="32"/>
  <c r="O54" i="32"/>
  <c r="O83" i="32"/>
  <c r="O92" i="32"/>
  <c r="O79" i="32"/>
  <c r="O33" i="32"/>
  <c r="O22" i="32"/>
  <c r="O15" i="32"/>
  <c r="O98" i="32"/>
  <c r="O43" i="32"/>
  <c r="O36" i="32"/>
  <c r="O35" i="32"/>
  <c r="O32" i="32"/>
  <c r="O34" i="32"/>
  <c r="O93" i="32"/>
  <c r="O37" i="32"/>
  <c r="O31" i="32"/>
  <c r="O21" i="32"/>
  <c r="O14" i="32"/>
  <c r="O82" i="32"/>
  <c r="O69" i="32"/>
  <c r="O58" i="32"/>
  <c r="O49" i="32"/>
  <c r="O44" i="32"/>
  <c r="O88" i="32"/>
  <c r="O38" i="32"/>
  <c r="O30" i="32"/>
  <c r="O104" i="32"/>
  <c r="O77" i="32"/>
  <c r="O64" i="32"/>
  <c r="O52" i="32"/>
  <c r="O20" i="32"/>
  <c r="O39" i="32"/>
  <c r="O29" i="32"/>
  <c r="O28" i="32"/>
  <c r="O13" i="32"/>
  <c r="O99" i="32"/>
  <c r="O72" i="32"/>
  <c r="O27" i="32"/>
  <c r="O19" i="32"/>
  <c r="O94" i="32"/>
  <c r="O67" i="32"/>
  <c r="O59" i="32"/>
  <c r="O56" i="32"/>
  <c r="O26" i="32"/>
  <c r="O18" i="32"/>
  <c r="O12" i="32"/>
  <c r="O102" i="32"/>
  <c r="O89" i="32"/>
  <c r="O62" i="32"/>
  <c r="O53" i="32"/>
  <c r="O46" i="32"/>
  <c r="O11" i="32"/>
  <c r="O103" i="32"/>
  <c r="O63" i="32"/>
  <c r="O48" i="32"/>
  <c r="O25" i="32"/>
  <c r="O97" i="32"/>
  <c r="O84" i="32"/>
  <c r="O41" i="32"/>
  <c r="O17" i="32"/>
  <c r="O73" i="32"/>
  <c r="O24" i="32"/>
  <c r="O47" i="32"/>
  <c r="O10" i="32"/>
  <c r="O68" i="32"/>
  <c r="O23" i="32"/>
  <c r="O16" i="32"/>
  <c r="O57" i="32"/>
  <c r="O51" i="32"/>
  <c r="O42" i="32"/>
  <c r="P6" i="32"/>
  <c r="O8" i="32"/>
  <c r="O7" i="32"/>
  <c r="O9" i="32"/>
  <c r="B242" i="15"/>
  <c r="C241" i="15"/>
  <c r="S7" i="33" l="1"/>
  <c r="T9" i="33"/>
  <c r="T14" i="33"/>
  <c r="T19" i="33"/>
  <c r="T24" i="33"/>
  <c r="T29" i="33"/>
  <c r="T34" i="33"/>
  <c r="T39" i="33"/>
  <c r="T44" i="33"/>
  <c r="T49" i="33"/>
  <c r="T54" i="33"/>
  <c r="T59" i="33"/>
  <c r="T64" i="33"/>
  <c r="T69" i="33"/>
  <c r="T74" i="33"/>
  <c r="T79" i="33"/>
  <c r="T84" i="33"/>
  <c r="T89" i="33"/>
  <c r="T94" i="33"/>
  <c r="T99" i="33"/>
  <c r="T104" i="33"/>
  <c r="T11" i="33"/>
  <c r="T16" i="33"/>
  <c r="T21" i="33"/>
  <c r="T26" i="33"/>
  <c r="T31" i="33"/>
  <c r="T36" i="33"/>
  <c r="T41" i="33"/>
  <c r="T46" i="33"/>
  <c r="T51" i="33"/>
  <c r="T56" i="33"/>
  <c r="T61" i="33"/>
  <c r="T66" i="33"/>
  <c r="T71" i="33"/>
  <c r="T76" i="33"/>
  <c r="T81" i="33"/>
  <c r="T86" i="33"/>
  <c r="T91" i="33"/>
  <c r="T96" i="33"/>
  <c r="T101" i="33"/>
  <c r="T106" i="33"/>
  <c r="T13" i="33"/>
  <c r="T18" i="33"/>
  <c r="T23" i="33"/>
  <c r="T28" i="33"/>
  <c r="T33" i="33"/>
  <c r="T38" i="33"/>
  <c r="T43" i="33"/>
  <c r="T48" i="33"/>
  <c r="T53" i="33"/>
  <c r="T58" i="33"/>
  <c r="T63" i="33"/>
  <c r="T68" i="33"/>
  <c r="T73" i="33"/>
  <c r="T78" i="33"/>
  <c r="T83" i="33"/>
  <c r="T88" i="33"/>
  <c r="T93" i="33"/>
  <c r="T98" i="33"/>
  <c r="T103" i="33"/>
  <c r="T108" i="33"/>
  <c r="T10" i="33"/>
  <c r="T15" i="33"/>
  <c r="T20" i="33"/>
  <c r="T25" i="33"/>
  <c r="T30" i="33"/>
  <c r="T35" i="33"/>
  <c r="T40" i="33"/>
  <c r="T45" i="33"/>
  <c r="T50" i="33"/>
  <c r="T55" i="33"/>
  <c r="T60" i="33"/>
  <c r="T65" i="33"/>
  <c r="T70" i="33"/>
  <c r="T75" i="33"/>
  <c r="T80" i="33"/>
  <c r="T85" i="33"/>
  <c r="T90" i="33"/>
  <c r="T95" i="33"/>
  <c r="T100" i="33"/>
  <c r="T105" i="33"/>
  <c r="T22" i="33"/>
  <c r="T47" i="33"/>
  <c r="T107" i="33"/>
  <c r="T102" i="33"/>
  <c r="T87" i="33"/>
  <c r="T52" i="33"/>
  <c r="T57" i="33"/>
  <c r="T17" i="33"/>
  <c r="T42" i="33"/>
  <c r="T12" i="33"/>
  <c r="T37" i="33"/>
  <c r="T97" i="33"/>
  <c r="T92" i="33"/>
  <c r="T27" i="33"/>
  <c r="T82" i="33"/>
  <c r="T32" i="33"/>
  <c r="T77" i="33"/>
  <c r="T72" i="33"/>
  <c r="T67" i="33"/>
  <c r="T62" i="33"/>
  <c r="P106" i="32"/>
  <c r="P101" i="32"/>
  <c r="P96" i="32"/>
  <c r="P91" i="32"/>
  <c r="P86" i="32"/>
  <c r="P81" i="32"/>
  <c r="P76" i="32"/>
  <c r="P71" i="32"/>
  <c r="P66" i="32"/>
  <c r="P61" i="32"/>
  <c r="P56" i="32"/>
  <c r="P51" i="32"/>
  <c r="P105" i="32"/>
  <c r="P100" i="32"/>
  <c r="P95" i="32"/>
  <c r="P90" i="32"/>
  <c r="P85" i="32"/>
  <c r="P80" i="32"/>
  <c r="P75" i="32"/>
  <c r="P70" i="32"/>
  <c r="P65" i="32"/>
  <c r="P60" i="32"/>
  <c r="P55" i="32"/>
  <c r="P50" i="32"/>
  <c r="P87" i="32"/>
  <c r="P74" i="32"/>
  <c r="P54" i="32"/>
  <c r="P83" i="32"/>
  <c r="P92" i="32"/>
  <c r="P79" i="32"/>
  <c r="P33" i="32"/>
  <c r="P88" i="32"/>
  <c r="P98" i="32"/>
  <c r="P43" i="32"/>
  <c r="P36" i="32"/>
  <c r="P35" i="32"/>
  <c r="P32" i="32"/>
  <c r="P34" i="32"/>
  <c r="P93" i="32"/>
  <c r="P37" i="32"/>
  <c r="P31" i="32"/>
  <c r="P21" i="32"/>
  <c r="P14" i="32"/>
  <c r="P82" i="32"/>
  <c r="P69" i="32"/>
  <c r="P58" i="32"/>
  <c r="P49" i="32"/>
  <c r="P44" i="32"/>
  <c r="P38" i="32"/>
  <c r="P30" i="32"/>
  <c r="P104" i="32"/>
  <c r="P77" i="32"/>
  <c r="P64" i="32"/>
  <c r="P52" i="32"/>
  <c r="P20" i="32"/>
  <c r="P39" i="32"/>
  <c r="P29" i="32"/>
  <c r="P28" i="32"/>
  <c r="P13" i="32"/>
  <c r="P99" i="32"/>
  <c r="P72" i="32"/>
  <c r="P45" i="32"/>
  <c r="P27" i="32"/>
  <c r="P19" i="32"/>
  <c r="P94" i="32"/>
  <c r="P67" i="32"/>
  <c r="P59" i="32"/>
  <c r="P40" i="32"/>
  <c r="P26" i="32"/>
  <c r="P18" i="32"/>
  <c r="P12" i="32"/>
  <c r="P102" i="32"/>
  <c r="P89" i="32"/>
  <c r="P62" i="32"/>
  <c r="P53" i="32"/>
  <c r="P46" i="32"/>
  <c r="P11" i="32"/>
  <c r="P78" i="32"/>
  <c r="P25" i="32"/>
  <c r="P22" i="32"/>
  <c r="P15" i="32"/>
  <c r="P97" i="32"/>
  <c r="P84" i="32"/>
  <c r="P41" i="32"/>
  <c r="P17" i="32"/>
  <c r="P73" i="32"/>
  <c r="P24" i="32"/>
  <c r="P47" i="32"/>
  <c r="P10" i="32"/>
  <c r="P68" i="32"/>
  <c r="P23" i="32"/>
  <c r="P16" i="32"/>
  <c r="P57" i="32"/>
  <c r="P42" i="32"/>
  <c r="P103" i="32"/>
  <c r="P63" i="32"/>
  <c r="P48" i="32"/>
  <c r="P8" i="32"/>
  <c r="P7" i="32"/>
  <c r="P9" i="32"/>
  <c r="Q6" i="32"/>
  <c r="B243" i="15"/>
  <c r="C242" i="15"/>
  <c r="T7" i="33" l="1"/>
  <c r="C243" i="15" s="1"/>
  <c r="Q106" i="32"/>
  <c r="Q83" i="32"/>
  <c r="Q60" i="32"/>
  <c r="Q101" i="32"/>
  <c r="Q92" i="32"/>
  <c r="Q79" i="32"/>
  <c r="Q65" i="32"/>
  <c r="Q33" i="32"/>
  <c r="Q28" i="32"/>
  <c r="Q23" i="32"/>
  <c r="Q18" i="32"/>
  <c r="Q88" i="32"/>
  <c r="Q97" i="32"/>
  <c r="Q84" i="32"/>
  <c r="Q70" i="32"/>
  <c r="Q90" i="32"/>
  <c r="Q87" i="32"/>
  <c r="Q74" i="32"/>
  <c r="Q66" i="32"/>
  <c r="Q34" i="32"/>
  <c r="Q93" i="32"/>
  <c r="Q55" i="32"/>
  <c r="Q37" i="32"/>
  <c r="Q31" i="32"/>
  <c r="Q21" i="32"/>
  <c r="Q14" i="32"/>
  <c r="Q85" i="32"/>
  <c r="Q82" i="32"/>
  <c r="Q69" i="32"/>
  <c r="Q61" i="32"/>
  <c r="Q58" i="32"/>
  <c r="Q49" i="32"/>
  <c r="Q44" i="32"/>
  <c r="Q38" i="32"/>
  <c r="Q30" i="32"/>
  <c r="Q104" i="32"/>
  <c r="Q80" i="32"/>
  <c r="Q77" i="32"/>
  <c r="Q64" i="32"/>
  <c r="Q52" i="32"/>
  <c r="Q20" i="32"/>
  <c r="Q39" i="32"/>
  <c r="Q29" i="32"/>
  <c r="Q13" i="32"/>
  <c r="Q99" i="32"/>
  <c r="Q75" i="32"/>
  <c r="Q72" i="32"/>
  <c r="Q45" i="32"/>
  <c r="Q27" i="32"/>
  <c r="Q19" i="32"/>
  <c r="Q96" i="32"/>
  <c r="Q94" i="32"/>
  <c r="Q67" i="32"/>
  <c r="Q59" i="32"/>
  <c r="Q56" i="32"/>
  <c r="Q40" i="32"/>
  <c r="Q26" i="32"/>
  <c r="Q12" i="32"/>
  <c r="Q102" i="32"/>
  <c r="Q91" i="32"/>
  <c r="Q89" i="32"/>
  <c r="Q62" i="32"/>
  <c r="Q53" i="32"/>
  <c r="Q50" i="32"/>
  <c r="Q46" i="32"/>
  <c r="Q11" i="32"/>
  <c r="Q78" i="32"/>
  <c r="Q25" i="32"/>
  <c r="Q86" i="32"/>
  <c r="Q41" i="32"/>
  <c r="Q17" i="32"/>
  <c r="Q98" i="32"/>
  <c r="Q43" i="32"/>
  <c r="Q36" i="32"/>
  <c r="Q35" i="32"/>
  <c r="Q32" i="32"/>
  <c r="Q73" i="32"/>
  <c r="Q24" i="32"/>
  <c r="Q105" i="32"/>
  <c r="Q81" i="32"/>
  <c r="Q47" i="32"/>
  <c r="Q10" i="32"/>
  <c r="Q68" i="32"/>
  <c r="Q16" i="32"/>
  <c r="Q100" i="32"/>
  <c r="Q76" i="32"/>
  <c r="Q57" i="32"/>
  <c r="Q54" i="32"/>
  <c r="Q42" i="32"/>
  <c r="Q103" i="32"/>
  <c r="Q63" i="32"/>
  <c r="Q51" i="32"/>
  <c r="Q48" i="32"/>
  <c r="Q95" i="32"/>
  <c r="Q71" i="32"/>
  <c r="Q22" i="32"/>
  <c r="Q15" i="32"/>
  <c r="Q9" i="32"/>
  <c r="Q8" i="32"/>
  <c r="R6" i="32"/>
  <c r="Q7" i="32"/>
  <c r="R104" i="32" l="1"/>
  <c r="R99" i="32"/>
  <c r="R94" i="32"/>
  <c r="R89" i="32"/>
  <c r="R84" i="32"/>
  <c r="R79" i="32"/>
  <c r="R74" i="32"/>
  <c r="R69" i="32"/>
  <c r="R64" i="32"/>
  <c r="R59" i="32"/>
  <c r="R54" i="32"/>
  <c r="R49" i="32"/>
  <c r="R44" i="32"/>
  <c r="R39" i="32"/>
  <c r="R106" i="32"/>
  <c r="R101" i="32"/>
  <c r="R96" i="32"/>
  <c r="R91" i="32"/>
  <c r="R86" i="32"/>
  <c r="R81" i="32"/>
  <c r="R76" i="32"/>
  <c r="R71" i="32"/>
  <c r="R66" i="32"/>
  <c r="R61" i="32"/>
  <c r="R56" i="32"/>
  <c r="R51" i="32"/>
  <c r="R46" i="32"/>
  <c r="R41" i="32"/>
  <c r="R36" i="32"/>
  <c r="R105" i="32"/>
  <c r="R100" i="32"/>
  <c r="R95" i="32"/>
  <c r="R90" i="32"/>
  <c r="R85" i="32"/>
  <c r="R80" i="32"/>
  <c r="R75" i="32"/>
  <c r="R70" i="32"/>
  <c r="R65" i="32"/>
  <c r="R60" i="32"/>
  <c r="R55" i="32"/>
  <c r="R92" i="32"/>
  <c r="R33" i="32"/>
  <c r="R28" i="32"/>
  <c r="R88" i="32"/>
  <c r="R97" i="32"/>
  <c r="R93" i="32"/>
  <c r="R48" i="32"/>
  <c r="R37" i="32"/>
  <c r="R31" i="32"/>
  <c r="R21" i="32"/>
  <c r="R14" i="32"/>
  <c r="R11" i="32"/>
  <c r="R82" i="32"/>
  <c r="R58" i="32"/>
  <c r="R38" i="32"/>
  <c r="R30" i="32"/>
  <c r="R77" i="32"/>
  <c r="R52" i="32"/>
  <c r="R20" i="32"/>
  <c r="R29" i="32"/>
  <c r="R13" i="32"/>
  <c r="R72" i="32"/>
  <c r="R45" i="32"/>
  <c r="R27" i="32"/>
  <c r="R19" i="32"/>
  <c r="R67" i="32"/>
  <c r="R83" i="32"/>
  <c r="R40" i="32"/>
  <c r="R26" i="32"/>
  <c r="R12" i="32"/>
  <c r="R102" i="32"/>
  <c r="R62" i="32"/>
  <c r="R53" i="32"/>
  <c r="R50" i="32"/>
  <c r="R18" i="32"/>
  <c r="R78" i="32"/>
  <c r="R25" i="32"/>
  <c r="R17" i="32"/>
  <c r="R73" i="32"/>
  <c r="R24" i="32"/>
  <c r="R87" i="32"/>
  <c r="R34" i="32"/>
  <c r="R47" i="32"/>
  <c r="R10" i="32"/>
  <c r="R68" i="32"/>
  <c r="R16" i="32"/>
  <c r="R57" i="32"/>
  <c r="R42" i="32"/>
  <c r="R23" i="32"/>
  <c r="R103" i="32"/>
  <c r="R63" i="32"/>
  <c r="R22" i="32"/>
  <c r="R15" i="32"/>
  <c r="R98" i="32"/>
  <c r="R43" i="32"/>
  <c r="R35" i="32"/>
  <c r="R32" i="32"/>
  <c r="R8" i="32"/>
  <c r="S6" i="32"/>
  <c r="R7" i="32"/>
  <c r="R9" i="32"/>
  <c r="S106" i="32" l="1"/>
  <c r="S105" i="32"/>
  <c r="S100" i="32"/>
  <c r="S95" i="32"/>
  <c r="S90" i="32"/>
  <c r="S85" i="32"/>
  <c r="S80" i="32"/>
  <c r="S75" i="32"/>
  <c r="S70" i="32"/>
  <c r="S65" i="32"/>
  <c r="S104" i="32"/>
  <c r="S99" i="32"/>
  <c r="S94" i="32"/>
  <c r="S89" i="32"/>
  <c r="S84" i="32"/>
  <c r="S79" i="32"/>
  <c r="S74" i="32"/>
  <c r="S69" i="32"/>
  <c r="S64" i="32"/>
  <c r="S59" i="32"/>
  <c r="S54" i="32"/>
  <c r="S49" i="32"/>
  <c r="S44" i="32"/>
  <c r="S39" i="32"/>
  <c r="S101" i="32"/>
  <c r="S88" i="32"/>
  <c r="S97" i="32"/>
  <c r="S93" i="32"/>
  <c r="S48" i="32"/>
  <c r="S102" i="32"/>
  <c r="S55" i="32"/>
  <c r="S47" i="32"/>
  <c r="S82" i="32"/>
  <c r="S58" i="32"/>
  <c r="S61" i="32"/>
  <c r="S38" i="32"/>
  <c r="S30" i="32"/>
  <c r="S77" i="32"/>
  <c r="S52" i="32"/>
  <c r="S20" i="32"/>
  <c r="S29" i="32"/>
  <c r="S13" i="32"/>
  <c r="S72" i="32"/>
  <c r="S45" i="32"/>
  <c r="S28" i="32"/>
  <c r="S27" i="32"/>
  <c r="S19" i="32"/>
  <c r="S67" i="32"/>
  <c r="S96" i="32"/>
  <c r="S83" i="32"/>
  <c r="S40" i="32"/>
  <c r="S26" i="32"/>
  <c r="S12" i="32"/>
  <c r="S62" i="32"/>
  <c r="S56" i="32"/>
  <c r="S53" i="32"/>
  <c r="S50" i="32"/>
  <c r="S18" i="32"/>
  <c r="S11" i="32"/>
  <c r="S91" i="32"/>
  <c r="S78" i="32"/>
  <c r="S46" i="32"/>
  <c r="S25" i="32"/>
  <c r="S17" i="32"/>
  <c r="S86" i="32"/>
  <c r="S73" i="32"/>
  <c r="S41" i="32"/>
  <c r="S24" i="32"/>
  <c r="S10" i="32"/>
  <c r="S66" i="32"/>
  <c r="S37" i="32"/>
  <c r="S33" i="32"/>
  <c r="S31" i="32"/>
  <c r="S21" i="32"/>
  <c r="S14" i="32"/>
  <c r="S81" i="32"/>
  <c r="S68" i="32"/>
  <c r="S16" i="32"/>
  <c r="S57" i="32"/>
  <c r="S42" i="32"/>
  <c r="S23" i="32"/>
  <c r="S103" i="32"/>
  <c r="S76" i="32"/>
  <c r="S63" i="32"/>
  <c r="S92" i="32"/>
  <c r="S60" i="32"/>
  <c r="S51" i="32"/>
  <c r="S22" i="32"/>
  <c r="S15" i="32"/>
  <c r="S98" i="32"/>
  <c r="S71" i="32"/>
  <c r="S43" i="32"/>
  <c r="S35" i="32"/>
  <c r="S32" i="32"/>
  <c r="S87" i="32"/>
  <c r="S36" i="32"/>
  <c r="S34" i="32"/>
  <c r="S9" i="32"/>
  <c r="S8" i="32"/>
  <c r="S7" i="32"/>
  <c r="T6" i="32"/>
  <c r="T106" i="32" l="1"/>
  <c r="T105" i="32"/>
  <c r="T100" i="32"/>
  <c r="T95" i="32"/>
  <c r="T90" i="32"/>
  <c r="T85" i="32"/>
  <c r="T80" i="32"/>
  <c r="T75" i="32"/>
  <c r="T70" i="32"/>
  <c r="T65" i="32"/>
  <c r="T60" i="32"/>
  <c r="T55" i="32"/>
  <c r="T50" i="32"/>
  <c r="T104" i="32"/>
  <c r="T99" i="32"/>
  <c r="T94" i="32"/>
  <c r="T89" i="32"/>
  <c r="T84" i="32"/>
  <c r="T79" i="32"/>
  <c r="T74" i="32"/>
  <c r="T69" i="32"/>
  <c r="T64" i="32"/>
  <c r="T59" i="32"/>
  <c r="T54" i="32"/>
  <c r="T49" i="32"/>
  <c r="T97" i="32"/>
  <c r="T93" i="32"/>
  <c r="T48" i="32"/>
  <c r="T102" i="32"/>
  <c r="T47" i="32"/>
  <c r="T32" i="32"/>
  <c r="T98" i="32"/>
  <c r="T61" i="32"/>
  <c r="T46" i="32"/>
  <c r="T45" i="32"/>
  <c r="T43" i="32"/>
  <c r="T38" i="32"/>
  <c r="T30" i="32"/>
  <c r="T77" i="32"/>
  <c r="T52" i="32"/>
  <c r="T44" i="32"/>
  <c r="T20" i="32"/>
  <c r="T29" i="32"/>
  <c r="T13" i="32"/>
  <c r="T72" i="32"/>
  <c r="T101" i="32"/>
  <c r="T88" i="32"/>
  <c r="T39" i="32"/>
  <c r="T28" i="32"/>
  <c r="T27" i="32"/>
  <c r="T19" i="32"/>
  <c r="T67" i="32"/>
  <c r="T96" i="32"/>
  <c r="T83" i="32"/>
  <c r="T40" i="32"/>
  <c r="T26" i="32"/>
  <c r="T12" i="32"/>
  <c r="T62" i="32"/>
  <c r="T56" i="32"/>
  <c r="T53" i="32"/>
  <c r="T18" i="32"/>
  <c r="T11" i="32"/>
  <c r="T91" i="32"/>
  <c r="T78" i="32"/>
  <c r="T25" i="32"/>
  <c r="T17" i="32"/>
  <c r="T86" i="32"/>
  <c r="T73" i="32"/>
  <c r="T41" i="32"/>
  <c r="T24" i="32"/>
  <c r="T10" i="32"/>
  <c r="T81" i="32"/>
  <c r="T68" i="32"/>
  <c r="T16" i="32"/>
  <c r="T82" i="32"/>
  <c r="T58" i="32"/>
  <c r="T57" i="32"/>
  <c r="T42" i="32"/>
  <c r="T23" i="32"/>
  <c r="T103" i="32"/>
  <c r="T76" i="32"/>
  <c r="T63" i="32"/>
  <c r="T92" i="32"/>
  <c r="T51" i="32"/>
  <c r="T22" i="32"/>
  <c r="T15" i="32"/>
  <c r="T71" i="32"/>
  <c r="T35" i="32"/>
  <c r="T87" i="32"/>
  <c r="T36" i="32"/>
  <c r="T34" i="32"/>
  <c r="T66" i="32"/>
  <c r="T37" i="32"/>
  <c r="T33" i="32"/>
  <c r="T31" i="32"/>
  <c r="T21" i="32"/>
  <c r="T14" i="32"/>
  <c r="T9" i="32"/>
  <c r="T8" i="32"/>
  <c r="U6" i="32"/>
  <c r="T7" i="32"/>
  <c r="U106" i="32" l="1"/>
  <c r="U93" i="32"/>
  <c r="U79" i="32"/>
  <c r="U65" i="32"/>
  <c r="U48" i="32"/>
  <c r="U102" i="32"/>
  <c r="U47" i="32"/>
  <c r="U32" i="32"/>
  <c r="U27" i="32"/>
  <c r="U22" i="32"/>
  <c r="U17" i="32"/>
  <c r="U98" i="32"/>
  <c r="U84" i="32"/>
  <c r="U70" i="32"/>
  <c r="U61" i="32"/>
  <c r="U55" i="32"/>
  <c r="U46" i="32"/>
  <c r="U45" i="32"/>
  <c r="U43" i="32"/>
  <c r="U44" i="32"/>
  <c r="U42" i="32"/>
  <c r="U77" i="32"/>
  <c r="U52" i="32"/>
  <c r="U20" i="32"/>
  <c r="U85" i="32"/>
  <c r="U69" i="32"/>
  <c r="U49" i="32"/>
  <c r="U29" i="32"/>
  <c r="U13" i="32"/>
  <c r="U72" i="32"/>
  <c r="U104" i="32"/>
  <c r="U101" i="32"/>
  <c r="U88" i="32"/>
  <c r="U80" i="32"/>
  <c r="U64" i="32"/>
  <c r="U39" i="32"/>
  <c r="U28" i="32"/>
  <c r="U19" i="32"/>
  <c r="U67" i="32"/>
  <c r="U99" i="32"/>
  <c r="U96" i="32"/>
  <c r="U83" i="32"/>
  <c r="U75" i="32"/>
  <c r="U40" i="32"/>
  <c r="U26" i="32"/>
  <c r="U12" i="32"/>
  <c r="U62" i="32"/>
  <c r="U56" i="32"/>
  <c r="U53" i="32"/>
  <c r="U18" i="32"/>
  <c r="U11" i="32"/>
  <c r="U94" i="32"/>
  <c r="U91" i="32"/>
  <c r="U78" i="32"/>
  <c r="U59" i="32"/>
  <c r="U50" i="32"/>
  <c r="U25" i="32"/>
  <c r="U89" i="32"/>
  <c r="U86" i="32"/>
  <c r="U73" i="32"/>
  <c r="U41" i="32"/>
  <c r="U24" i="32"/>
  <c r="U10" i="32"/>
  <c r="U81" i="32"/>
  <c r="U68" i="32"/>
  <c r="U16" i="32"/>
  <c r="U97" i="32"/>
  <c r="U57" i="32"/>
  <c r="U23" i="32"/>
  <c r="U90" i="32"/>
  <c r="U74" i="32"/>
  <c r="U38" i="32"/>
  <c r="U30" i="32"/>
  <c r="U105" i="32"/>
  <c r="U103" i="32"/>
  <c r="U76" i="32"/>
  <c r="U63" i="32"/>
  <c r="U92" i="32"/>
  <c r="U51" i="32"/>
  <c r="U15" i="32"/>
  <c r="U100" i="32"/>
  <c r="U71" i="32"/>
  <c r="U60" i="32"/>
  <c r="U54" i="32"/>
  <c r="U35" i="32"/>
  <c r="U87" i="32"/>
  <c r="U36" i="32"/>
  <c r="U34" i="32"/>
  <c r="U95" i="32"/>
  <c r="U66" i="32"/>
  <c r="U37" i="32"/>
  <c r="U33" i="32"/>
  <c r="U31" i="32"/>
  <c r="U21" i="32"/>
  <c r="U14" i="32"/>
  <c r="U82" i="32"/>
  <c r="U58" i="32"/>
  <c r="U9" i="32"/>
  <c r="U8" i="32"/>
  <c r="V6" i="32"/>
  <c r="U7" i="32"/>
  <c r="V103" i="32" l="1"/>
  <c r="V98" i="32"/>
  <c r="V93" i="32"/>
  <c r="V88" i="32"/>
  <c r="V83" i="32"/>
  <c r="V78" i="32"/>
  <c r="V73" i="32"/>
  <c r="V68" i="32"/>
  <c r="V63" i="32"/>
  <c r="V58" i="32"/>
  <c r="V53" i="32"/>
  <c r="V48" i="32"/>
  <c r="V43" i="32"/>
  <c r="V38" i="32"/>
  <c r="V105" i="32"/>
  <c r="V100" i="32"/>
  <c r="V95" i="32"/>
  <c r="V90" i="32"/>
  <c r="V85" i="32"/>
  <c r="V80" i="32"/>
  <c r="V75" i="32"/>
  <c r="V70" i="32"/>
  <c r="V65" i="32"/>
  <c r="V60" i="32"/>
  <c r="V55" i="32"/>
  <c r="V50" i="32"/>
  <c r="V45" i="32"/>
  <c r="V40" i="32"/>
  <c r="V104" i="32"/>
  <c r="V99" i="32"/>
  <c r="V94" i="32"/>
  <c r="V89" i="32"/>
  <c r="V84" i="32"/>
  <c r="V79" i="32"/>
  <c r="V74" i="32"/>
  <c r="V69" i="32"/>
  <c r="V64" i="32"/>
  <c r="V59" i="32"/>
  <c r="V54" i="32"/>
  <c r="V102" i="32"/>
  <c r="V47" i="32"/>
  <c r="V32" i="32"/>
  <c r="V27" i="32"/>
  <c r="V61" i="32"/>
  <c r="V46" i="32"/>
  <c r="V44" i="32"/>
  <c r="V42" i="32"/>
  <c r="V106" i="32"/>
  <c r="V66" i="32"/>
  <c r="V49" i="32"/>
  <c r="V41" i="32"/>
  <c r="V29" i="32"/>
  <c r="V13" i="32"/>
  <c r="V10" i="32"/>
  <c r="V72" i="32"/>
  <c r="V101" i="32"/>
  <c r="V39" i="32"/>
  <c r="V28" i="32"/>
  <c r="V19" i="32"/>
  <c r="V67" i="32"/>
  <c r="V96" i="32"/>
  <c r="V26" i="32"/>
  <c r="V12" i="32"/>
  <c r="V62" i="32"/>
  <c r="V56" i="32"/>
  <c r="V18" i="32"/>
  <c r="V11" i="32"/>
  <c r="V91" i="32"/>
  <c r="V25" i="32"/>
  <c r="V86" i="32"/>
  <c r="V24" i="32"/>
  <c r="V17" i="32"/>
  <c r="V81" i="32"/>
  <c r="V16" i="32"/>
  <c r="V97" i="32"/>
  <c r="V57" i="32"/>
  <c r="V23" i="32"/>
  <c r="V76" i="32"/>
  <c r="V77" i="32"/>
  <c r="V52" i="32"/>
  <c r="V20" i="32"/>
  <c r="V92" i="32"/>
  <c r="V51" i="32"/>
  <c r="V15" i="32"/>
  <c r="V71" i="32"/>
  <c r="V35" i="32"/>
  <c r="V22" i="32"/>
  <c r="V87" i="32"/>
  <c r="V36" i="32"/>
  <c r="V34" i="32"/>
  <c r="V37" i="32"/>
  <c r="V33" i="32"/>
  <c r="V31" i="32"/>
  <c r="V21" i="32"/>
  <c r="V14" i="32"/>
  <c r="V82" i="32"/>
  <c r="V30" i="32"/>
  <c r="V9" i="32"/>
  <c r="V7" i="32"/>
  <c r="V8" i="32"/>
  <c r="W6" i="32"/>
  <c r="W104" i="32" l="1"/>
  <c r="W99" i="32"/>
  <c r="W94" i="32"/>
  <c r="W89" i="32"/>
  <c r="W84" i="32"/>
  <c r="W79" i="32"/>
  <c r="W74" i="32"/>
  <c r="W69" i="32"/>
  <c r="W64" i="32"/>
  <c r="W103" i="32"/>
  <c r="W98" i="32"/>
  <c r="W93" i="32"/>
  <c r="W88" i="32"/>
  <c r="W83" i="32"/>
  <c r="W78" i="32"/>
  <c r="W73" i="32"/>
  <c r="W68" i="32"/>
  <c r="W63" i="32"/>
  <c r="W58" i="32"/>
  <c r="W53" i="32"/>
  <c r="W48" i="32"/>
  <c r="W43" i="32"/>
  <c r="W38" i="32"/>
  <c r="W61" i="32"/>
  <c r="W46" i="32"/>
  <c r="W70" i="32"/>
  <c r="W55" i="32"/>
  <c r="W45" i="32"/>
  <c r="W44" i="32"/>
  <c r="W42" i="32"/>
  <c r="W106" i="32"/>
  <c r="W66" i="32"/>
  <c r="W49" i="32"/>
  <c r="W41" i="32"/>
  <c r="W75" i="32"/>
  <c r="W62" i="32"/>
  <c r="W56" i="32"/>
  <c r="W40" i="32"/>
  <c r="W85" i="32"/>
  <c r="W72" i="32"/>
  <c r="W101" i="32"/>
  <c r="W39" i="32"/>
  <c r="W28" i="32"/>
  <c r="W19" i="32"/>
  <c r="W80" i="32"/>
  <c r="W67" i="32"/>
  <c r="W96" i="32"/>
  <c r="W27" i="32"/>
  <c r="W26" i="32"/>
  <c r="W12" i="32"/>
  <c r="W18" i="32"/>
  <c r="W11" i="32"/>
  <c r="W91" i="32"/>
  <c r="W25" i="32"/>
  <c r="W59" i="32"/>
  <c r="W50" i="32"/>
  <c r="W86" i="32"/>
  <c r="W24" i="32"/>
  <c r="W17" i="32"/>
  <c r="W102" i="32"/>
  <c r="W10" i="32"/>
  <c r="W81" i="32"/>
  <c r="W16" i="32"/>
  <c r="W97" i="32"/>
  <c r="W57" i="32"/>
  <c r="W23" i="32"/>
  <c r="W76" i="32"/>
  <c r="W105" i="32"/>
  <c r="W92" i="32"/>
  <c r="W65" i="32"/>
  <c r="W51" i="32"/>
  <c r="W47" i="32"/>
  <c r="W15" i="32"/>
  <c r="W29" i="32"/>
  <c r="W13" i="32"/>
  <c r="W71" i="32"/>
  <c r="W35" i="32"/>
  <c r="W22" i="32"/>
  <c r="W100" i="32"/>
  <c r="W87" i="32"/>
  <c r="W60" i="32"/>
  <c r="W54" i="32"/>
  <c r="W36" i="32"/>
  <c r="W34" i="32"/>
  <c r="W37" i="32"/>
  <c r="W33" i="32"/>
  <c r="W31" i="32"/>
  <c r="W21" i="32"/>
  <c r="W14" i="32"/>
  <c r="W95" i="32"/>
  <c r="W82" i="32"/>
  <c r="W32" i="32"/>
  <c r="W30" i="32"/>
  <c r="W90" i="32"/>
  <c r="W77" i="32"/>
  <c r="W52" i="32"/>
  <c r="W20" i="32"/>
  <c r="W7" i="32"/>
  <c r="W9" i="32"/>
  <c r="X6" i="32"/>
  <c r="W8" i="32"/>
  <c r="X104" i="32" l="1"/>
  <c r="X99" i="32"/>
  <c r="X94" i="32"/>
  <c r="X89" i="32"/>
  <c r="X84" i="32"/>
  <c r="X79" i="32"/>
  <c r="X74" i="32"/>
  <c r="X69" i="32"/>
  <c r="X64" i="32"/>
  <c r="X59" i="32"/>
  <c r="X54" i="32"/>
  <c r="X49" i="32"/>
  <c r="X103" i="32"/>
  <c r="X98" i="32"/>
  <c r="X93" i="32"/>
  <c r="X88" i="32"/>
  <c r="X83" i="32"/>
  <c r="X78" i="32"/>
  <c r="X73" i="32"/>
  <c r="X68" i="32"/>
  <c r="X63" i="32"/>
  <c r="X58" i="32"/>
  <c r="X53" i="32"/>
  <c r="X48" i="32"/>
  <c r="X70" i="32"/>
  <c r="X55" i="32"/>
  <c r="X45" i="32"/>
  <c r="X44" i="32"/>
  <c r="X42" i="32"/>
  <c r="X106" i="32"/>
  <c r="X66" i="32"/>
  <c r="X43" i="32"/>
  <c r="X41" i="32"/>
  <c r="X75" i="32"/>
  <c r="X62" i="32"/>
  <c r="X56" i="32"/>
  <c r="X40" i="32"/>
  <c r="X39" i="32"/>
  <c r="X37" i="32"/>
  <c r="X71" i="32"/>
  <c r="X101" i="32"/>
  <c r="X61" i="32"/>
  <c r="X28" i="32"/>
  <c r="X19" i="32"/>
  <c r="X80" i="32"/>
  <c r="X67" i="32"/>
  <c r="X96" i="32"/>
  <c r="X27" i="32"/>
  <c r="X26" i="32"/>
  <c r="X12" i="32"/>
  <c r="X18" i="32"/>
  <c r="X11" i="32"/>
  <c r="X91" i="32"/>
  <c r="X25" i="32"/>
  <c r="X50" i="32"/>
  <c r="X86" i="32"/>
  <c r="X24" i="32"/>
  <c r="X17" i="32"/>
  <c r="X102" i="32"/>
  <c r="X10" i="32"/>
  <c r="X81" i="32"/>
  <c r="X46" i="32"/>
  <c r="X16" i="32"/>
  <c r="X97" i="32"/>
  <c r="X57" i="32"/>
  <c r="X23" i="32"/>
  <c r="X76" i="32"/>
  <c r="X105" i="32"/>
  <c r="X92" i="32"/>
  <c r="X65" i="32"/>
  <c r="X51" i="32"/>
  <c r="X47" i="32"/>
  <c r="X15" i="32"/>
  <c r="X35" i="32"/>
  <c r="X22" i="32"/>
  <c r="X85" i="32"/>
  <c r="X72" i="32"/>
  <c r="X100" i="32"/>
  <c r="X87" i="32"/>
  <c r="X60" i="32"/>
  <c r="X36" i="32"/>
  <c r="X34" i="32"/>
  <c r="X33" i="32"/>
  <c r="X31" i="32"/>
  <c r="X21" i="32"/>
  <c r="X14" i="32"/>
  <c r="X95" i="32"/>
  <c r="X82" i="32"/>
  <c r="X32" i="32"/>
  <c r="X30" i="32"/>
  <c r="X90" i="32"/>
  <c r="X77" i="32"/>
  <c r="X52" i="32"/>
  <c r="X20" i="32"/>
  <c r="X38" i="32"/>
  <c r="X29" i="32"/>
  <c r="X13" i="32"/>
  <c r="Y6" i="32"/>
  <c r="X9" i="32"/>
  <c r="X8" i="32"/>
  <c r="X7" i="32"/>
  <c r="Y106" i="32" l="1"/>
  <c r="Y66" i="32"/>
  <c r="Y43" i="32"/>
  <c r="Y41" i="32"/>
  <c r="Y98" i="32"/>
  <c r="Y84" i="32"/>
  <c r="Y75" i="32"/>
  <c r="Y62" i="32"/>
  <c r="Y56" i="32"/>
  <c r="Y49" i="32"/>
  <c r="Y40" i="32"/>
  <c r="Y39" i="32"/>
  <c r="Y37" i="32"/>
  <c r="Y31" i="32"/>
  <c r="Y26" i="32"/>
  <c r="Y21" i="32"/>
  <c r="Y16" i="32"/>
  <c r="Y71" i="32"/>
  <c r="Y38" i="32"/>
  <c r="Y103" i="32"/>
  <c r="Y89" i="32"/>
  <c r="Y80" i="32"/>
  <c r="Y67" i="32"/>
  <c r="Y57" i="32"/>
  <c r="Y50" i="32"/>
  <c r="Y93" i="32"/>
  <c r="Y69" i="32"/>
  <c r="Y55" i="32"/>
  <c r="Y44" i="32"/>
  <c r="Y96" i="32"/>
  <c r="Y27" i="32"/>
  <c r="Y12" i="32"/>
  <c r="Y104" i="32"/>
  <c r="Y88" i="32"/>
  <c r="Y64" i="32"/>
  <c r="Y18" i="32"/>
  <c r="Y11" i="32"/>
  <c r="Y91" i="32"/>
  <c r="Y25" i="32"/>
  <c r="Y99" i="32"/>
  <c r="Y83" i="32"/>
  <c r="Y45" i="32"/>
  <c r="Y86" i="32"/>
  <c r="Y59" i="32"/>
  <c r="Y53" i="32"/>
  <c r="Y24" i="32"/>
  <c r="Y17" i="32"/>
  <c r="Y102" i="32"/>
  <c r="Y94" i="32"/>
  <c r="Y78" i="32"/>
  <c r="Y10" i="32"/>
  <c r="Y81" i="32"/>
  <c r="Y46" i="32"/>
  <c r="Y97" i="32"/>
  <c r="Y73" i="32"/>
  <c r="Y70" i="32"/>
  <c r="Y23" i="32"/>
  <c r="Y76" i="32"/>
  <c r="Y105" i="32"/>
  <c r="Y92" i="32"/>
  <c r="Y68" i="32"/>
  <c r="Y65" i="32"/>
  <c r="Y51" i="32"/>
  <c r="Y47" i="32"/>
  <c r="Y15" i="32"/>
  <c r="Y35" i="32"/>
  <c r="Y22" i="32"/>
  <c r="Y100" i="32"/>
  <c r="Y87" i="32"/>
  <c r="Y63" i="32"/>
  <c r="Y60" i="32"/>
  <c r="Y42" i="32"/>
  <c r="Y36" i="32"/>
  <c r="Y34" i="32"/>
  <c r="Y101" i="32"/>
  <c r="Y61" i="32"/>
  <c r="Y28" i="32"/>
  <c r="Y19" i="32"/>
  <c r="Y54" i="32"/>
  <c r="Y33" i="32"/>
  <c r="Y14" i="32"/>
  <c r="Y95" i="32"/>
  <c r="Y82" i="32"/>
  <c r="Y32" i="32"/>
  <c r="Y30" i="32"/>
  <c r="Y90" i="32"/>
  <c r="Y79" i="32"/>
  <c r="Y77" i="32"/>
  <c r="Y52" i="32"/>
  <c r="Y48" i="32"/>
  <c r="Y20" i="32"/>
  <c r="Y58" i="32"/>
  <c r="Y29" i="32"/>
  <c r="Y13" i="32"/>
  <c r="Y85" i="32"/>
  <c r="Y74" i="32"/>
  <c r="Y72" i="32"/>
  <c r="Y9" i="32"/>
  <c r="Z6" i="32"/>
  <c r="Y8" i="32"/>
  <c r="Y7" i="32"/>
  <c r="Z102" i="32" l="1"/>
  <c r="Z97" i="32"/>
  <c r="Z92" i="32"/>
  <c r="Z87" i="32"/>
  <c r="Z82" i="32"/>
  <c r="Z77" i="32"/>
  <c r="Z72" i="32"/>
  <c r="Z67" i="32"/>
  <c r="Z62" i="32"/>
  <c r="Z57" i="32"/>
  <c r="Z52" i="32"/>
  <c r="Z47" i="32"/>
  <c r="Z42" i="32"/>
  <c r="Z37" i="32"/>
  <c r="Z106" i="32"/>
  <c r="Z104" i="32"/>
  <c r="Z99" i="32"/>
  <c r="Z94" i="32"/>
  <c r="Z89" i="32"/>
  <c r="Z84" i="32"/>
  <c r="Z79" i="32"/>
  <c r="Z74" i="32"/>
  <c r="Z69" i="32"/>
  <c r="Z64" i="32"/>
  <c r="Z59" i="32"/>
  <c r="Z54" i="32"/>
  <c r="Z49" i="32"/>
  <c r="Z44" i="32"/>
  <c r="Z39" i="32"/>
  <c r="Z103" i="32"/>
  <c r="Z98" i="32"/>
  <c r="Z93" i="32"/>
  <c r="Z88" i="32"/>
  <c r="Z83" i="32"/>
  <c r="Z78" i="32"/>
  <c r="Z73" i="32"/>
  <c r="Z68" i="32"/>
  <c r="Z63" i="32"/>
  <c r="Z58" i="32"/>
  <c r="Z53" i="32"/>
  <c r="Z75" i="32"/>
  <c r="Z56" i="32"/>
  <c r="Z40" i="32"/>
  <c r="Z31" i="32"/>
  <c r="Z26" i="32"/>
  <c r="Z71" i="32"/>
  <c r="Z38" i="32"/>
  <c r="Z80" i="32"/>
  <c r="Z50" i="32"/>
  <c r="Z36" i="32"/>
  <c r="Z76" i="32"/>
  <c r="Z96" i="32"/>
  <c r="Z27" i="32"/>
  <c r="Z12" i="32"/>
  <c r="Z18" i="32"/>
  <c r="Z11" i="32"/>
  <c r="Z91" i="32"/>
  <c r="Z25" i="32"/>
  <c r="Z45" i="32"/>
  <c r="Z86" i="32"/>
  <c r="Z24" i="32"/>
  <c r="Z17" i="32"/>
  <c r="Z10" i="32"/>
  <c r="Z81" i="32"/>
  <c r="Z46" i="32"/>
  <c r="Z70" i="32"/>
  <c r="Z23" i="32"/>
  <c r="Z16" i="32"/>
  <c r="Z41" i="32"/>
  <c r="Z105" i="32"/>
  <c r="Z65" i="32"/>
  <c r="Z51" i="32"/>
  <c r="Z15" i="32"/>
  <c r="Z35" i="32"/>
  <c r="Z22" i="32"/>
  <c r="Z100" i="32"/>
  <c r="Z60" i="32"/>
  <c r="Z34" i="32"/>
  <c r="Z33" i="32"/>
  <c r="Z14" i="32"/>
  <c r="Z55" i="32"/>
  <c r="Z95" i="32"/>
  <c r="Z32" i="32"/>
  <c r="Z21" i="32"/>
  <c r="Z30" i="32"/>
  <c r="Z90" i="32"/>
  <c r="Z48" i="32"/>
  <c r="Z20" i="32"/>
  <c r="Z66" i="32"/>
  <c r="Z43" i="32"/>
  <c r="Z29" i="32"/>
  <c r="Z13" i="32"/>
  <c r="Z85" i="32"/>
  <c r="Z101" i="32"/>
  <c r="Z61" i="32"/>
  <c r="Z28" i="32"/>
  <c r="Z19" i="32"/>
  <c r="Z8" i="32"/>
  <c r="Z7" i="32"/>
  <c r="Z9" i="32"/>
  <c r="AA6" i="32"/>
  <c r="AA106" i="32" l="1"/>
  <c r="AA103" i="32"/>
  <c r="AA98" i="32"/>
  <c r="AA93" i="32"/>
  <c r="AA88" i="32"/>
  <c r="AA83" i="32"/>
  <c r="AA78" i="32"/>
  <c r="AA73" i="32"/>
  <c r="AA68" i="32"/>
  <c r="AA63" i="32"/>
  <c r="AA102" i="32"/>
  <c r="AA97" i="32"/>
  <c r="AA92" i="32"/>
  <c r="AA87" i="32"/>
  <c r="AA82" i="32"/>
  <c r="AA77" i="32"/>
  <c r="AA72" i="32"/>
  <c r="AA67" i="32"/>
  <c r="AA62" i="32"/>
  <c r="AA57" i="32"/>
  <c r="AA52" i="32"/>
  <c r="AA47" i="32"/>
  <c r="AA42" i="32"/>
  <c r="AA37" i="32"/>
  <c r="AA84" i="32"/>
  <c r="AA71" i="32"/>
  <c r="AA49" i="32"/>
  <c r="AA39" i="32"/>
  <c r="AA38" i="32"/>
  <c r="AA80" i="32"/>
  <c r="AA50" i="32"/>
  <c r="AA36" i="32"/>
  <c r="AA89" i="32"/>
  <c r="AA76" i="32"/>
  <c r="AA85" i="32"/>
  <c r="AA51" i="32"/>
  <c r="AA18" i="32"/>
  <c r="AA11" i="32"/>
  <c r="AA104" i="32"/>
  <c r="AA91" i="32"/>
  <c r="AA64" i="32"/>
  <c r="AA26" i="32"/>
  <c r="AA25" i="32"/>
  <c r="AA45" i="32"/>
  <c r="AA99" i="32"/>
  <c r="AA86" i="32"/>
  <c r="AA24" i="32"/>
  <c r="AA17" i="32"/>
  <c r="AA75" i="32"/>
  <c r="AA59" i="32"/>
  <c r="AA56" i="32"/>
  <c r="AA53" i="32"/>
  <c r="AA40" i="32"/>
  <c r="AA10" i="32"/>
  <c r="AA94" i="32"/>
  <c r="AA81" i="32"/>
  <c r="AA46" i="32"/>
  <c r="AA70" i="32"/>
  <c r="AA23" i="32"/>
  <c r="AA16" i="32"/>
  <c r="AA41" i="32"/>
  <c r="AA105" i="32"/>
  <c r="AA65" i="32"/>
  <c r="AA15" i="32"/>
  <c r="AA35" i="32"/>
  <c r="AA22" i="32"/>
  <c r="AA100" i="32"/>
  <c r="AA60" i="32"/>
  <c r="AA34" i="32"/>
  <c r="AA33" i="32"/>
  <c r="AA14" i="32"/>
  <c r="AA95" i="32"/>
  <c r="AA54" i="32"/>
  <c r="AA32" i="32"/>
  <c r="AA21" i="32"/>
  <c r="AA96" i="32"/>
  <c r="AA69" i="32"/>
  <c r="AA44" i="32"/>
  <c r="AA27" i="32"/>
  <c r="AA12" i="32"/>
  <c r="AA31" i="32"/>
  <c r="AA30" i="32"/>
  <c r="AA90" i="32"/>
  <c r="AA48" i="32"/>
  <c r="AA20" i="32"/>
  <c r="AA79" i="32"/>
  <c r="AA66" i="32"/>
  <c r="AA43" i="32"/>
  <c r="AA29" i="32"/>
  <c r="AA13" i="32"/>
  <c r="AA58" i="32"/>
  <c r="AA101" i="32"/>
  <c r="AA74" i="32"/>
  <c r="AA61" i="32"/>
  <c r="AA28" i="32"/>
  <c r="AA19" i="32"/>
  <c r="AA55" i="32"/>
  <c r="AA9" i="32"/>
  <c r="AB6" i="32"/>
  <c r="AA8" i="32"/>
  <c r="AA7" i="32"/>
  <c r="AB106" i="32" l="1"/>
  <c r="AB103" i="32"/>
  <c r="AB98" i="32"/>
  <c r="AB93" i="32"/>
  <c r="AB88" i="32"/>
  <c r="AB83" i="32"/>
  <c r="AB78" i="32"/>
  <c r="AB73" i="32"/>
  <c r="AB68" i="32"/>
  <c r="AB63" i="32"/>
  <c r="AB58" i="32"/>
  <c r="AB53" i="32"/>
  <c r="AB48" i="32"/>
  <c r="AB102" i="32"/>
  <c r="AB97" i="32"/>
  <c r="AB92" i="32"/>
  <c r="AB87" i="32"/>
  <c r="AB82" i="32"/>
  <c r="AB77" i="32"/>
  <c r="AB72" i="32"/>
  <c r="AB67" i="32"/>
  <c r="AB62" i="32"/>
  <c r="AB57" i="32"/>
  <c r="AB52" i="32"/>
  <c r="AB80" i="32"/>
  <c r="AB50" i="32"/>
  <c r="AB37" i="32"/>
  <c r="AB36" i="32"/>
  <c r="AB89" i="32"/>
  <c r="AB76" i="32"/>
  <c r="AB85" i="32"/>
  <c r="AB51" i="32"/>
  <c r="AB35" i="32"/>
  <c r="AB94" i="32"/>
  <c r="AB81" i="32"/>
  <c r="AB104" i="32"/>
  <c r="AB91" i="32"/>
  <c r="AB64" i="32"/>
  <c r="AB49" i="32"/>
  <c r="AB39" i="32"/>
  <c r="AB26" i="32"/>
  <c r="AB25" i="32"/>
  <c r="AB45" i="32"/>
  <c r="AB99" i="32"/>
  <c r="AB86" i="32"/>
  <c r="AB24" i="32"/>
  <c r="AB17" i="32"/>
  <c r="AB75" i="32"/>
  <c r="AB59" i="32"/>
  <c r="AB56" i="32"/>
  <c r="AB40" i="32"/>
  <c r="AB10" i="32"/>
  <c r="AB46" i="32"/>
  <c r="AB70" i="32"/>
  <c r="AB23" i="32"/>
  <c r="AB16" i="32"/>
  <c r="AB41" i="32"/>
  <c r="AB105" i="32"/>
  <c r="AB65" i="32"/>
  <c r="AB15" i="32"/>
  <c r="AB22" i="32"/>
  <c r="AB100" i="32"/>
  <c r="AB60" i="32"/>
  <c r="AB47" i="32"/>
  <c r="AB34" i="32"/>
  <c r="AB33" i="32"/>
  <c r="AB14" i="32"/>
  <c r="AB95" i="32"/>
  <c r="AB54" i="32"/>
  <c r="AB42" i="32"/>
  <c r="AB32" i="32"/>
  <c r="AB21" i="32"/>
  <c r="AB84" i="32"/>
  <c r="AB71" i="32"/>
  <c r="AB31" i="32"/>
  <c r="AB30" i="32"/>
  <c r="AB18" i="32"/>
  <c r="AB11" i="32"/>
  <c r="AB90" i="32"/>
  <c r="AB20" i="32"/>
  <c r="AB79" i="32"/>
  <c r="AB66" i="32"/>
  <c r="AB43" i="32"/>
  <c r="AB29" i="32"/>
  <c r="AB13" i="32"/>
  <c r="AB101" i="32"/>
  <c r="AB74" i="32"/>
  <c r="AB61" i="32"/>
  <c r="AB28" i="32"/>
  <c r="AB19" i="32"/>
  <c r="AB55" i="32"/>
  <c r="AB38" i="32"/>
  <c r="AB96" i="32"/>
  <c r="AB69" i="32"/>
  <c r="AB44" i="32"/>
  <c r="AB27" i="32"/>
  <c r="AB12" i="32"/>
  <c r="AB7" i="32"/>
  <c r="AB9" i="32"/>
  <c r="AB8" i="32"/>
  <c r="AC6" i="32"/>
  <c r="AC106" i="32" l="1"/>
  <c r="AC98" i="32"/>
  <c r="AC89" i="32"/>
  <c r="AC76" i="32"/>
  <c r="AC62" i="32"/>
  <c r="AC85" i="32"/>
  <c r="AC51" i="32"/>
  <c r="AC35" i="32"/>
  <c r="AC30" i="32"/>
  <c r="AC25" i="32"/>
  <c r="AC20" i="32"/>
  <c r="AC15" i="32"/>
  <c r="AC103" i="32"/>
  <c r="AC94" i="32"/>
  <c r="AC81" i="32"/>
  <c r="AC67" i="32"/>
  <c r="AC57" i="32"/>
  <c r="AC90" i="32"/>
  <c r="AC80" i="32"/>
  <c r="AC45" i="32"/>
  <c r="AC99" i="32"/>
  <c r="AC88" i="32"/>
  <c r="AC86" i="32"/>
  <c r="AC24" i="32"/>
  <c r="AC17" i="32"/>
  <c r="AC75" i="32"/>
  <c r="AC59" i="32"/>
  <c r="AC56" i="32"/>
  <c r="AC40" i="32"/>
  <c r="AC10" i="32"/>
  <c r="AC83" i="32"/>
  <c r="AC53" i="32"/>
  <c r="AC46" i="32"/>
  <c r="AC70" i="32"/>
  <c r="AC50" i="32"/>
  <c r="AC23" i="32"/>
  <c r="AC16" i="32"/>
  <c r="AC102" i="32"/>
  <c r="AC78" i="32"/>
  <c r="AC41" i="32"/>
  <c r="AC105" i="32"/>
  <c r="AC65" i="32"/>
  <c r="AC97" i="32"/>
  <c r="AC73" i="32"/>
  <c r="AC22" i="32"/>
  <c r="AC100" i="32"/>
  <c r="AC60" i="32"/>
  <c r="AC47" i="32"/>
  <c r="AC34" i="32"/>
  <c r="AC92" i="32"/>
  <c r="AC68" i="32"/>
  <c r="AC33" i="32"/>
  <c r="AC14" i="32"/>
  <c r="AC95" i="32"/>
  <c r="AC54" i="32"/>
  <c r="AC42" i="32"/>
  <c r="AC32" i="32"/>
  <c r="AC21" i="32"/>
  <c r="AC87" i="32"/>
  <c r="AC84" i="32"/>
  <c r="AC71" i="32"/>
  <c r="AC63" i="32"/>
  <c r="AC36" i="32"/>
  <c r="AC31" i="32"/>
  <c r="AC104" i="32"/>
  <c r="AC93" i="32"/>
  <c r="AC91" i="32"/>
  <c r="AC64" i="32"/>
  <c r="AC49" i="32"/>
  <c r="AC39" i="32"/>
  <c r="AC26" i="32"/>
  <c r="AC82" i="32"/>
  <c r="AC79" i="32"/>
  <c r="AC66" i="32"/>
  <c r="AC48" i="32"/>
  <c r="AC43" i="32"/>
  <c r="AC29" i="32"/>
  <c r="AC13" i="32"/>
  <c r="AC37" i="32"/>
  <c r="AC101" i="32"/>
  <c r="AC77" i="32"/>
  <c r="AC74" i="32"/>
  <c r="AC61" i="32"/>
  <c r="AC58" i="32"/>
  <c r="AC52" i="32"/>
  <c r="AC28" i="32"/>
  <c r="AC19" i="32"/>
  <c r="AC55" i="32"/>
  <c r="AC38" i="32"/>
  <c r="AC96" i="32"/>
  <c r="AC72" i="32"/>
  <c r="AC69" i="32"/>
  <c r="AC44" i="32"/>
  <c r="AC27" i="32"/>
  <c r="AC12" i="32"/>
  <c r="AC18" i="32"/>
  <c r="AC11" i="32"/>
  <c r="AC9" i="32"/>
  <c r="AC7" i="32"/>
  <c r="AC8" i="32"/>
</calcChain>
</file>

<file path=xl/sharedStrings.xml><?xml version="1.0" encoding="utf-8"?>
<sst xmlns="http://schemas.openxmlformats.org/spreadsheetml/2006/main" count="968" uniqueCount="515">
  <si>
    <t>Grand Total</t>
  </si>
  <si>
    <t>Risk ID</t>
  </si>
  <si>
    <t>Risk Title</t>
  </si>
  <si>
    <t>Risk Description</t>
  </si>
  <si>
    <t>Risk Category</t>
  </si>
  <si>
    <t>Risk comments</t>
  </si>
  <si>
    <t>Consequence</t>
  </si>
  <si>
    <t>Cause</t>
  </si>
  <si>
    <t>Moderate</t>
  </si>
  <si>
    <t>Likely</t>
  </si>
  <si>
    <t>Unlikely</t>
  </si>
  <si>
    <t>Rare</t>
  </si>
  <si>
    <t>High</t>
  </si>
  <si>
    <t>Medium</t>
  </si>
  <si>
    <t>Low</t>
  </si>
  <si>
    <t>Risk Analysis</t>
  </si>
  <si>
    <t>Accept</t>
  </si>
  <si>
    <t>Risk Status</t>
  </si>
  <si>
    <t>Open</t>
  </si>
  <si>
    <t>Closed</t>
  </si>
  <si>
    <t>Risk Response Type</t>
  </si>
  <si>
    <t>Avoid</t>
  </si>
  <si>
    <t>Transfer</t>
  </si>
  <si>
    <t>Mitigate</t>
  </si>
  <si>
    <t>Risk Owner</t>
  </si>
  <si>
    <t>Existing measures and controls</t>
  </si>
  <si>
    <t>Residual Impact Level</t>
  </si>
  <si>
    <t>Residual Impact Rating</t>
  </si>
  <si>
    <t>Residual Likelihood Level</t>
  </si>
  <si>
    <t>Residual Likelihood Rating</t>
  </si>
  <si>
    <t>Risk Response</t>
  </si>
  <si>
    <t>Risk Due Date</t>
  </si>
  <si>
    <t>Overdue?</t>
  </si>
  <si>
    <t>Next Review Date</t>
  </si>
  <si>
    <t>Department</t>
  </si>
  <si>
    <t>New measures and controls</t>
  </si>
  <si>
    <t>Inherent Impact Level</t>
  </si>
  <si>
    <t>Inherent Impact Rating</t>
  </si>
  <si>
    <t>Inherent Likelihood Level</t>
  </si>
  <si>
    <t>Inherent Likelihood Rating</t>
  </si>
  <si>
    <t>Residual Risk</t>
  </si>
  <si>
    <t>Risk Response Strategy</t>
  </si>
  <si>
    <t>Risk Identification</t>
  </si>
  <si>
    <t>Tracking</t>
  </si>
  <si>
    <t>Insider Threats</t>
  </si>
  <si>
    <t>Operational Disruption</t>
  </si>
  <si>
    <t xml:space="preserve">Supply Chain </t>
  </si>
  <si>
    <t>Ransomware</t>
  </si>
  <si>
    <t>Data breach</t>
  </si>
  <si>
    <t>System Vulnerabilities</t>
  </si>
  <si>
    <t>Identity and Access</t>
  </si>
  <si>
    <t>Non-compliance</t>
  </si>
  <si>
    <t>Social Engineering</t>
  </si>
  <si>
    <t>Response and Recovery</t>
  </si>
  <si>
    <t>Human Resources (HR)</t>
  </si>
  <si>
    <t>Finance</t>
  </si>
  <si>
    <t>Sales</t>
  </si>
  <si>
    <t>Information Technology (IT)</t>
  </si>
  <si>
    <t>Procurement</t>
  </si>
  <si>
    <t>-- select department --</t>
  </si>
  <si>
    <t>-- Select Risk Category --</t>
  </si>
  <si>
    <t>Description</t>
  </si>
  <si>
    <t>-- Select Likelihood --</t>
  </si>
  <si>
    <t>Highly Likely</t>
  </si>
  <si>
    <t>Risks in this category are almost certain to occur, with a likelihood of 91 percent or more.</t>
  </si>
  <si>
    <t>Likely risks have a 61-90 percent chance of occurring. They require regular attention and a consistent strategy.</t>
  </si>
  <si>
    <t>Possible</t>
  </si>
  <si>
    <t>Possible risks have a 41-60 percent chance of occurring and may happen about half the time, needing attention.</t>
  </si>
  <si>
    <t>Unlikely risks have an 11-40 percent chance of occurring, and it’s wise to monitor them.</t>
  </si>
  <si>
    <t>These risks have a low probability of occurring, as the name suggests.</t>
  </si>
  <si>
    <t>Likelihood Level</t>
  </si>
  <si>
    <t>Likelihood Rating</t>
  </si>
  <si>
    <t>Impact Level</t>
  </si>
  <si>
    <t>Impact Rating</t>
  </si>
  <si>
    <t>Very Low</t>
  </si>
  <si>
    <t>Very High</t>
  </si>
  <si>
    <t>-- Select Risk Response --</t>
  </si>
  <si>
    <t>-- Select Impact --</t>
  </si>
  <si>
    <t>-- Select Risk Status --</t>
  </si>
  <si>
    <t>Status comments</t>
  </si>
  <si>
    <t>Inherent Risk Level</t>
  </si>
  <si>
    <t>Risk Rating</t>
  </si>
  <si>
    <t>Risk Level</t>
  </si>
  <si>
    <t>--- Error ---</t>
  </si>
  <si>
    <t>Inherent Risk Rating</t>
  </si>
  <si>
    <t>Residual Risk Level</t>
  </si>
  <si>
    <t>Residual Risk Rating</t>
  </si>
  <si>
    <t>IMPACT</t>
  </si>
  <si>
    <t>LIKELIHOOD</t>
  </si>
  <si>
    <t>sec1</t>
  </si>
  <si>
    <t>sec2</t>
  </si>
  <si>
    <t>sec3</t>
  </si>
  <si>
    <t>sec4</t>
  </si>
  <si>
    <t>sec5</t>
  </si>
  <si>
    <t>sec6</t>
  </si>
  <si>
    <t>sec7</t>
  </si>
  <si>
    <t>sec8</t>
  </si>
  <si>
    <t>sec9</t>
  </si>
  <si>
    <t>sec10</t>
  </si>
  <si>
    <t>sec11</t>
  </si>
  <si>
    <t>sec12</t>
  </si>
  <si>
    <t>sec13</t>
  </si>
  <si>
    <t>sec14</t>
  </si>
  <si>
    <t>sec15</t>
  </si>
  <si>
    <t>sec16</t>
  </si>
  <si>
    <t>sec17</t>
  </si>
  <si>
    <t>sec18</t>
  </si>
  <si>
    <t>sec19</t>
  </si>
  <si>
    <t>sec20</t>
  </si>
  <si>
    <t>Combined Inherent and Residual Risk</t>
  </si>
  <si>
    <t>Count</t>
  </si>
  <si>
    <t>Inherent Risks</t>
  </si>
  <si>
    <t>Residual Risks</t>
  </si>
  <si>
    <t>This table takes the data from the above two pivot tables and is used for the chart</t>
  </si>
  <si>
    <t>Risk Close Date</t>
  </si>
  <si>
    <t>In Progress</t>
  </si>
  <si>
    <t>Status of all risks excluding the ones where the status is not selected</t>
  </si>
  <si>
    <t xml:space="preserve">Total active risks </t>
  </si>
  <si>
    <t>Sum of all 'Open' and 'In Progress' statuses, calculated from the above pivot. If you add new statuses, update the formula</t>
  </si>
  <si>
    <t xml:space="preserve">Status of all risks </t>
  </si>
  <si>
    <t>Status of all Mitigated and Accepted risks</t>
  </si>
  <si>
    <t>Status of all risks where the Risk Response is either Mitigation or Acceptance. Excludes the ones where the status is not selected</t>
  </si>
  <si>
    <t xml:space="preserve">Total active risks by Risk Response </t>
  </si>
  <si>
    <t>Sum of all 'Open' and 'In Progress' statuses for ones where Risk Response is either Mitigation or Acceptance, calculated from the above pivot. 
If you add new statuses, update the formula</t>
  </si>
  <si>
    <t>Total active risks</t>
  </si>
  <si>
    <t>Total</t>
  </si>
  <si>
    <t>-- Error --</t>
  </si>
  <si>
    <t>Note: in both the below Pivot tables, the rows where Inherent Risk is not calculated is excluded ( "-- Error --")</t>
  </si>
  <si>
    <t>Inherent Risk Levels and Ratings</t>
  </si>
  <si>
    <t>Residual Risk Levels and Ratings</t>
  </si>
  <si>
    <t>Due Month</t>
  </si>
  <si>
    <t>Note: 
1) In both the below Pivot tables, the rows where Inherent Risk is not calculated is excluded ( "-- Error --")
2) The Risk Rating table is used for updating the Heatmaps</t>
  </si>
  <si>
    <t>Calculations for Pivots</t>
  </si>
  <si>
    <t>Inherent-I-L-Combo</t>
  </si>
  <si>
    <t>Residual-I-L-Combo</t>
  </si>
  <si>
    <t>High-Highly Likely</t>
  </si>
  <si>
    <t>High-Likely</t>
  </si>
  <si>
    <t>High-Possible</t>
  </si>
  <si>
    <t>Low-Highly Likely</t>
  </si>
  <si>
    <t>Low-Likely</t>
  </si>
  <si>
    <t>Low-Unlikely</t>
  </si>
  <si>
    <t>Moderate-Highly Likely</t>
  </si>
  <si>
    <t>Very High-Highly Likely</t>
  </si>
  <si>
    <t>Very High-Possible</t>
  </si>
  <si>
    <t>Very High-Rare</t>
  </si>
  <si>
    <t>Very Low-Highly Likely</t>
  </si>
  <si>
    <t>Very Low-Likely</t>
  </si>
  <si>
    <t>Very Low-Possible</t>
  </si>
  <si>
    <t>Very Low-Unlikely</t>
  </si>
  <si>
    <t>Very Low-Rare</t>
  </si>
  <si>
    <t>Low-Possible</t>
  </si>
  <si>
    <t>Low-Rare</t>
  </si>
  <si>
    <t>Moderate-Likely</t>
  </si>
  <si>
    <t>Moderate-Possible</t>
  </si>
  <si>
    <t>Moderate-Unlikely</t>
  </si>
  <si>
    <t>Moderate-Rare</t>
  </si>
  <si>
    <t>High-Unlikely</t>
  </si>
  <si>
    <t>High-Rare</t>
  </si>
  <si>
    <t>Very High-Likely</t>
  </si>
  <si>
    <t>Very High-Unlikely</t>
  </si>
  <si>
    <t>(Multiple Items)</t>
  </si>
  <si>
    <t>Current Risk Level</t>
  </si>
  <si>
    <r>
      <t xml:space="preserve">Risk level based on the status of the risk. If its closed, then the residual risk is returned, else the inherent risk is returned. Based on the Current Risk Level column in </t>
    </r>
    <r>
      <rPr>
        <i/>
        <sz val="10"/>
        <color theme="1"/>
        <rFont val="Segoe UI"/>
        <family val="2"/>
      </rPr>
      <t>Calculations for Pivots</t>
    </r>
    <r>
      <rPr>
        <sz val="10"/>
        <color theme="1"/>
        <rFont val="Segoe UI"/>
        <family val="2"/>
      </rPr>
      <t xml:space="preserve"> section in the Risk Register.</t>
    </r>
  </si>
  <si>
    <t>Mitigated Risks</t>
  </si>
  <si>
    <t>Mitigated?</t>
  </si>
  <si>
    <t>No</t>
  </si>
  <si>
    <t>Yes</t>
  </si>
  <si>
    <t xml:space="preserve">Number of risks that are mitigated as a percentage of the total. Errors are filtered out </t>
  </si>
  <si>
    <t>Task ID</t>
  </si>
  <si>
    <t>Task Title</t>
  </si>
  <si>
    <t>Task Description</t>
  </si>
  <si>
    <t>Assignee</t>
  </si>
  <si>
    <t>Due Date</t>
  </si>
  <si>
    <t>Comments</t>
  </si>
  <si>
    <t>Related Risks</t>
  </si>
  <si>
    <t>Status</t>
  </si>
  <si>
    <t>Due Year</t>
  </si>
  <si>
    <t>Risk-ID-Title-Combo</t>
  </si>
  <si>
    <t>Created Date</t>
  </si>
  <si>
    <t>TASK-001</t>
  </si>
  <si>
    <t>Pending review.</t>
  </si>
  <si>
    <t>TASK-002</t>
  </si>
  <si>
    <t>On Hold</t>
  </si>
  <si>
    <t>No comments</t>
  </si>
  <si>
    <t>TASK-003</t>
  </si>
  <si>
    <t>Conduct Risk Assessment</t>
  </si>
  <si>
    <t>TASK-004</t>
  </si>
  <si>
    <t>Employee Training</t>
  </si>
  <si>
    <t>TASK-005</t>
  </si>
  <si>
    <t>TASK-006</t>
  </si>
  <si>
    <t>TASK-007</t>
  </si>
  <si>
    <t>Review Security Policies</t>
  </si>
  <si>
    <t>TASK-008</t>
  </si>
  <si>
    <t>TASK-009</t>
  </si>
  <si>
    <t>Not Started</t>
  </si>
  <si>
    <t>TASK-010</t>
  </si>
  <si>
    <t>TASK-011</t>
  </si>
  <si>
    <t>TASK-012</t>
  </si>
  <si>
    <t>TASK-013</t>
  </si>
  <si>
    <t>TASK-014</t>
  </si>
  <si>
    <t>TASK-015</t>
  </si>
  <si>
    <t>TASK-016</t>
  </si>
  <si>
    <t>TASK-017</t>
  </si>
  <si>
    <t>TASK-018</t>
  </si>
  <si>
    <t>TASK-019</t>
  </si>
  <si>
    <t>TASK-020</t>
  </si>
  <si>
    <t>TASK-021</t>
  </si>
  <si>
    <t>TASK-022</t>
  </si>
  <si>
    <t>TASK-023</t>
  </si>
  <si>
    <t>TASK-024</t>
  </si>
  <si>
    <t>TASK-025</t>
  </si>
  <si>
    <t>TASK-026</t>
  </si>
  <si>
    <t>TASK-027</t>
  </si>
  <si>
    <t>TASK-028</t>
  </si>
  <si>
    <t>TASK-029</t>
  </si>
  <si>
    <t>TASK-030</t>
  </si>
  <si>
    <t>TASK-031</t>
  </si>
  <si>
    <t>TASK-032</t>
  </si>
  <si>
    <t>TASK-033</t>
  </si>
  <si>
    <t>TASK-034</t>
  </si>
  <si>
    <t>TASK-035</t>
  </si>
  <si>
    <t>TASK-036</t>
  </si>
  <si>
    <t>TASK-037</t>
  </si>
  <si>
    <t>TASK-038</t>
  </si>
  <si>
    <t>TASK-039</t>
  </si>
  <si>
    <t>TASK-040</t>
  </si>
  <si>
    <t>TASK-041</t>
  </si>
  <si>
    <t>TASK-042</t>
  </si>
  <si>
    <t>TASK-043</t>
  </si>
  <si>
    <t>TASK-044</t>
  </si>
  <si>
    <t>TASK-045</t>
  </si>
  <si>
    <t>TASK-046</t>
  </si>
  <si>
    <t>TASK-047</t>
  </si>
  <si>
    <t>TASK-048</t>
  </si>
  <si>
    <t>TASK-049</t>
  </si>
  <si>
    <t>TASK-050</t>
  </si>
  <si>
    <t>TASK-051</t>
  </si>
  <si>
    <t>TASK-052</t>
  </si>
  <si>
    <t>TASK-053</t>
  </si>
  <si>
    <t>TASK-054</t>
  </si>
  <si>
    <t>TASK-055</t>
  </si>
  <si>
    <t>TASK-056</t>
  </si>
  <si>
    <t>TASK-057</t>
  </si>
  <si>
    <t>TASK-058</t>
  </si>
  <si>
    <t>TASK-059</t>
  </si>
  <si>
    <t>TASK-060</t>
  </si>
  <si>
    <t>TASK-061</t>
  </si>
  <si>
    <t>TASK-062</t>
  </si>
  <si>
    <t>TASK-063</t>
  </si>
  <si>
    <t>TASK-064</t>
  </si>
  <si>
    <t>TASK-065</t>
  </si>
  <si>
    <t>TASK-066</t>
  </si>
  <si>
    <t>TASK-067</t>
  </si>
  <si>
    <t>TASK-068</t>
  </si>
  <si>
    <t>TASK-069</t>
  </si>
  <si>
    <t>TASK-070</t>
  </si>
  <si>
    <t>TASK-071</t>
  </si>
  <si>
    <t>TASK-072</t>
  </si>
  <si>
    <t>TASK-073</t>
  </si>
  <si>
    <t>TASK-074</t>
  </si>
  <si>
    <t>TASK-075</t>
  </si>
  <si>
    <t>TASK-076</t>
  </si>
  <si>
    <t>TASK-077</t>
  </si>
  <si>
    <t>TASK-078</t>
  </si>
  <si>
    <t>TASK-079</t>
  </si>
  <si>
    <t>TASK-080</t>
  </si>
  <si>
    <t>TASK-081</t>
  </si>
  <si>
    <t>TASK-082</t>
  </si>
  <si>
    <t>TASK-083</t>
  </si>
  <si>
    <t>TASK-084</t>
  </si>
  <si>
    <t>TASK-085</t>
  </si>
  <si>
    <t>TASK-086</t>
  </si>
  <si>
    <t>TASK-087</t>
  </si>
  <si>
    <t>TASK-088</t>
  </si>
  <si>
    <t>TASK-089</t>
  </si>
  <si>
    <t>TASK-090</t>
  </si>
  <si>
    <t>TASK-091</t>
  </si>
  <si>
    <t>TASK-092</t>
  </si>
  <si>
    <t>TASK-093</t>
  </si>
  <si>
    <t>TASK-094</t>
  </si>
  <si>
    <t>TASK-095</t>
  </si>
  <si>
    <t>TASK-096</t>
  </si>
  <si>
    <t>TASK-097</t>
  </si>
  <si>
    <t>TASK-098</t>
  </si>
  <si>
    <t>TASK-099</t>
  </si>
  <si>
    <t>TASK-100</t>
  </si>
  <si>
    <t>Gantt start</t>
  </si>
  <si>
    <t>Interval (months)</t>
  </si>
  <si>
    <t>Risks</t>
  </si>
  <si>
    <t>Start</t>
  </si>
  <si>
    <t>Due</t>
  </si>
  <si>
    <t>Risks above threshold</t>
  </si>
  <si>
    <t>Risk level based on the status of the risk. This is calculated from the Pivot in "Current Risk Level" section.
Note: In this case, the unacceptable risks are High and Medium. Based on your risk appetite, please make appropriate changes</t>
  </si>
  <si>
    <t xml:space="preserve">Total accepted risks </t>
  </si>
  <si>
    <t>Count of Risk with 'Closed' status and Risk Response Strategy as "Accept" calculated from the above pivot. If you add new statuses, update the formula</t>
  </si>
  <si>
    <t>Total accepted risks</t>
  </si>
  <si>
    <t>% accepted risks</t>
  </si>
  <si>
    <t>Active risk categories</t>
  </si>
  <si>
    <t xml:space="preserve">Categories of risks which are actively managed. Only risks with Open and In Progress states are considered. </t>
  </si>
  <si>
    <t>Overdue Risks</t>
  </si>
  <si>
    <t xml:space="preserve">Count of risks with In Progress status that have exceeded the due date </t>
  </si>
  <si>
    <t>Count of Risk ID</t>
  </si>
  <si>
    <t>Overdue</t>
  </si>
  <si>
    <t>Not Overdue</t>
  </si>
  <si>
    <t>Total risks overdue</t>
  </si>
  <si>
    <t>Current-I-L-Combo</t>
  </si>
  <si>
    <t>Current-Impact</t>
  </si>
  <si>
    <t>Current-Likelihood</t>
  </si>
  <si>
    <t>Heatmap calculation for Current Risks</t>
  </si>
  <si>
    <t xml:space="preserve">The 1st table filters only the active risks 
The 2nd table is used to populate the Heatmap for Risks
Make sure the count matches with the total active risks value </t>
  </si>
  <si>
    <t>Risks by created date</t>
  </si>
  <si>
    <t>Created Month</t>
  </si>
  <si>
    <t>Created Date missing</t>
  </si>
  <si>
    <t>Jan-2024</t>
  </si>
  <si>
    <t>Feb-2024</t>
  </si>
  <si>
    <t>Mar-2024</t>
  </si>
  <si>
    <t>Apr-2024</t>
  </si>
  <si>
    <t>May-2024</t>
  </si>
  <si>
    <t>Jun-2024</t>
  </si>
  <si>
    <t>Jul-2024</t>
  </si>
  <si>
    <t>Aug-2024</t>
  </si>
  <si>
    <t>Sep-2024</t>
  </si>
  <si>
    <t>Oct-2024</t>
  </si>
  <si>
    <t>Nov-2024</t>
  </si>
  <si>
    <t>Dec-2024</t>
  </si>
  <si>
    <t>Timeline start</t>
  </si>
  <si>
    <t>Risk-Change-Date</t>
  </si>
  <si>
    <t>Corrected-Risk-Change-Date</t>
  </si>
  <si>
    <t>Date</t>
  </si>
  <si>
    <t>Average Risk Score</t>
  </si>
  <si>
    <t xml:space="preserve">Average Risk Score over time </t>
  </si>
  <si>
    <t>This takes data from the RiskTimeline sheet in a table format useful for a chart</t>
  </si>
  <si>
    <t>Risk 1</t>
  </si>
  <si>
    <t>Risk 2</t>
  </si>
  <si>
    <t>Risk 3</t>
  </si>
  <si>
    <t>Risk 4</t>
  </si>
  <si>
    <t>1 - Risk 1</t>
  </si>
  <si>
    <t>2 - Risk 2</t>
  </si>
  <si>
    <t>3 - Risk 3</t>
  </si>
  <si>
    <t>4 - Risk 4</t>
  </si>
  <si>
    <t>Timeline area</t>
  </si>
  <si>
    <t>Implement New Firewall</t>
  </si>
  <si>
    <t>Implement new tool</t>
  </si>
  <si>
    <t>Update Documentation</t>
  </si>
  <si>
    <t>Inherent Risk</t>
  </si>
  <si>
    <t>Date when Risk Score Changes</t>
  </si>
  <si>
    <t>Risk 5</t>
  </si>
  <si>
    <t>Risk 6</t>
  </si>
  <si>
    <t>Risk 7</t>
  </si>
  <si>
    <t>Risk 8</t>
  </si>
  <si>
    <t>Risk 9</t>
  </si>
  <si>
    <t>Risk 10</t>
  </si>
  <si>
    <t>Risk 11</t>
  </si>
  <si>
    <t>Risk 12</t>
  </si>
  <si>
    <t>Risk 13</t>
  </si>
  <si>
    <t>Risk 14</t>
  </si>
  <si>
    <t>Risk 15</t>
  </si>
  <si>
    <t>Risk 16</t>
  </si>
  <si>
    <t>Risk 17</t>
  </si>
  <si>
    <t>Risk 18</t>
  </si>
  <si>
    <t>Risk 19</t>
  </si>
  <si>
    <t>Risk 20</t>
  </si>
  <si>
    <t>Task Status</t>
  </si>
  <si>
    <t>-- Select Task Status --</t>
  </si>
  <si>
    <t>Summary</t>
  </si>
  <si>
    <t>Ron</t>
  </si>
  <si>
    <t>Current Risk LRonl</t>
  </si>
  <si>
    <t>Bolla</t>
  </si>
  <si>
    <t>Shane</t>
  </si>
  <si>
    <t>Harold</t>
  </si>
  <si>
    <t>Rendle</t>
  </si>
  <si>
    <t>Deployed and configured a new firewall to enhance perimeter security and enforce network access controls.</t>
  </si>
  <si>
    <t>Reviewed and updated security policies and procedural documents to ensure regulatory alignment.</t>
  </si>
  <si>
    <t>Performed risk assessment to identify, evaluate, and document organizational security risks.</t>
  </si>
  <si>
    <t>Conducted security awareness training covering data protection and acceptable use policies.</t>
  </si>
  <si>
    <t>Assessed departmental risks and updated risk register with mitigation plans.</t>
  </si>
  <si>
    <t>Evaluated IT asset risks and recommended control improvements.</t>
  </si>
  <si>
    <t>Reviewed and revised security policies to ensure compliance with current standards and regulations.</t>
  </si>
  <si>
    <t>Updated process documentation to reflect recent control and system changes.</t>
  </si>
  <si>
    <t>Conducted risk analysis for critical systems and documented treatment actions.</t>
  </si>
  <si>
    <t>Implemented security monitoring tool to improve threat detection and incident response capabilities.</t>
  </si>
  <si>
    <t>Delivered compliance and information security training to employees.</t>
  </si>
  <si>
    <t>Deployed governance tool to streamline risk tracking and reporting.</t>
  </si>
  <si>
    <t>Integrated new compliance management system into existing processes.</t>
  </si>
  <si>
    <t>Configured and tested security tool to enhance control monitoring.</t>
  </si>
  <si>
    <t>Conducted role-based training focused on secure handling of sensitive information.</t>
  </si>
  <si>
    <t>Reviewed access control and data protection policies for effectiveness and compliance.</t>
  </si>
  <si>
    <t>Updated incident response and business continuity policies.</t>
  </si>
  <si>
    <t>Implemented vulnerability management tool to support continuous security assessment.</t>
  </si>
  <si>
    <t>Facilitated refresher training on cybersecurity awareness and phishing prevention.</t>
  </si>
  <si>
    <t>Conducted onboarding security training for new employees.</t>
  </si>
  <si>
    <t>April</t>
  </si>
  <si>
    <t>February</t>
  </si>
  <si>
    <t>Monitoring required for perimeter security</t>
  </si>
  <si>
    <t>IT Security Manager</t>
  </si>
  <si>
    <t>Firewall, Antivirus, Access Control</t>
  </si>
  <si>
    <t>Continuous monitoring implementation</t>
  </si>
  <si>
    <t>Risk accepted by management</t>
  </si>
  <si>
    <t>Endpoint exposure risk</t>
  </si>
  <si>
    <t>IT Operations Manager</t>
  </si>
  <si>
    <t>Endpoint protection, Backups</t>
  </si>
  <si>
    <t>Enhanced ransomware detection</t>
  </si>
  <si>
    <t>Risk formally closed</t>
  </si>
  <si>
    <t>Privileged access risk identified</t>
  </si>
  <si>
    <t>Access reviews, Logging</t>
  </si>
  <si>
    <t>Implement PAM solution</t>
  </si>
  <si>
    <t>Mitigation in progress</t>
  </si>
  <si>
    <t>Third-party dependency risk</t>
  </si>
  <si>
    <t>Vendor Manager</t>
  </si>
  <si>
    <t>Vendor assessments</t>
  </si>
  <si>
    <t>Strengthen supplier due diligence</t>
  </si>
  <si>
    <t>Monitoring supplier compliance</t>
  </si>
  <si>
    <t>Patch management gaps identified</t>
  </si>
  <si>
    <t>IT Infrastructure Manager</t>
  </si>
  <si>
    <t>Vulnerability scans</t>
  </si>
  <si>
    <t>Accelerated patch cycle</t>
  </si>
  <si>
    <t>Remediation ongoing</t>
  </si>
  <si>
    <t>Phishing exposure observed</t>
  </si>
  <si>
    <t>Awareness training</t>
  </si>
  <si>
    <t>Simulated phishing campaigns</t>
  </si>
  <si>
    <t>Controls being enhanced</t>
  </si>
  <si>
    <t>Excessive privileged accounts</t>
  </si>
  <si>
    <t>IAM Manager</t>
  </si>
  <si>
    <t>Role-based access</t>
  </si>
  <si>
    <t>MFA implementation</t>
  </si>
  <si>
    <t>Access review ongoing</t>
  </si>
  <si>
    <t>Minor compliance gaps</t>
  </si>
  <si>
    <t>Compliance Officer</t>
  </si>
  <si>
    <t>Policy framework</t>
  </si>
  <si>
    <t>Control self-assessment</t>
  </si>
  <si>
    <t>Risk mitigated and closed</t>
  </si>
  <si>
    <t>Regulatory monitoring required</t>
  </si>
  <si>
    <t>Sales Director</t>
  </si>
  <si>
    <t>Contract reviews</t>
  </si>
  <si>
    <t>Compliance checklist rollout</t>
  </si>
  <si>
    <t>Risk under observation</t>
  </si>
  <si>
    <t>Customer data handling risk</t>
  </si>
  <si>
    <t>Data encryption</t>
  </si>
  <si>
    <t>DLP solution deployment</t>
  </si>
  <si>
    <t>Risk mitigation planned</t>
  </si>
  <si>
    <t>Backup integrity verified</t>
  </si>
  <si>
    <t>Backup testing</t>
  </si>
  <si>
    <t>Ransomware tabletop exercise</t>
  </si>
  <si>
    <t>Monitoring effectiveness</t>
  </si>
  <si>
    <t>Insider activity monitoring</t>
  </si>
  <si>
    <t>Access logs review</t>
  </si>
  <si>
    <t>Segregation of duties enforcement</t>
  </si>
  <si>
    <t>Mitigation ongoing</t>
  </si>
  <si>
    <t>Supplier contract dependency</t>
  </si>
  <si>
    <t>Finance Manager</t>
  </si>
  <si>
    <t>Contract controls</t>
  </si>
  <si>
    <t>Financial contingency planning</t>
  </si>
  <si>
    <t>Critical system exposure</t>
  </si>
  <si>
    <t>Legal Counsel</t>
  </si>
  <si>
    <t>System hardening</t>
  </si>
  <si>
    <t>Security audit execution</t>
  </si>
  <si>
    <t>Urgent remediation required</t>
  </si>
  <si>
    <t>High phishing susceptibility</t>
  </si>
  <si>
    <t>Procurement Manager</t>
  </si>
  <si>
    <t>Awareness sessions</t>
  </si>
  <si>
    <t>Email filtering enhancement</t>
  </si>
  <si>
    <t>Controls being strengthened</t>
  </si>
  <si>
    <t>Weak password practices</t>
  </si>
  <si>
    <t>Password policy</t>
  </si>
  <si>
    <t>Enforce MFA enterprise-wide</t>
  </si>
  <si>
    <t>IAM improvements ongoing</t>
  </si>
  <si>
    <t>Compliance reporting gaps</t>
  </si>
  <si>
    <t>Internal audits</t>
  </si>
  <si>
    <t>Automated compliance dashboard</t>
  </si>
  <si>
    <t>Delayed patch cycles</t>
  </si>
  <si>
    <t>Monthly patching</t>
  </si>
  <si>
    <t>Increase scan frequency</t>
  </si>
  <si>
    <t>Monitoring remediation</t>
  </si>
  <si>
    <t>Critical vulnerabilities detected</t>
  </si>
  <si>
    <t>Vulnerability scanning</t>
  </si>
  <si>
    <t>Immediate patch deployment</t>
  </si>
  <si>
    <t>High priority remediation</t>
  </si>
  <si>
    <t>Risk formally accepted by board</t>
  </si>
  <si>
    <t>CIO</t>
  </si>
  <si>
    <t>Existing controls maintained</t>
  </si>
  <si>
    <t>No additional controls planned</t>
  </si>
  <si>
    <t>Risk closed and accepted</t>
  </si>
  <si>
    <r>
      <t xml:space="preserve">Note: The impact levels are adapted version of the one in NIST's </t>
    </r>
    <r>
      <rPr>
        <b/>
        <i/>
        <sz val="10"/>
        <color theme="1"/>
        <rFont val="Segoe UI"/>
        <family val="2"/>
      </rPr>
      <t>SP 800-30 Guide for Conducting Risk Assessments</t>
    </r>
  </si>
  <si>
    <t>Mid-Size Technology Company (SaaS Provider)</t>
  </si>
  <si>
    <t>Category Description</t>
  </si>
  <si>
    <t>Select the applicable cyber or operational risk category relevant to the SaaS business environment.</t>
  </si>
  <si>
    <t>Data Breach</t>
  </si>
  <si>
    <t>Risk of unauthorized access, disclosure, or theft of customer data, intellectual property, or sensitive business information stored in cloud platforms or internal systems.</t>
  </si>
  <si>
    <t>Risk of malware or ransomware attacks affecting cloud infrastructure, endpoints, or production environments, potentially disrupting service availability and causing financial loss.</t>
  </si>
  <si>
    <t>Risk arising from employees, contractors, or privileged users misusing access to source code, customer data, or internal systems, either maliciously or accidentally.</t>
  </si>
  <si>
    <t>Supply Chain</t>
  </si>
  <si>
    <t>Risk stemming from third-party vendors, cloud service providers, SaaS integrations, or outsourced development partners that may introduce security weaknesses.</t>
  </si>
  <si>
    <t>Risk related to unpatched software, insecure APIs, misconfigured cloud environments, or infrastructure weaknesses that could be exploited by threat actors.</t>
  </si>
  <si>
    <t>Risk of phishing, business email compromise (BEC), or impersonation attacks targeting employees, especially those with financial or administrative privileges.</t>
  </si>
  <si>
    <t>Risk of unauthorized system access due to weak authentication controls, poor role-based access management, or lack of multi-factor authentication (MFA).</t>
  </si>
  <si>
    <t>Risk of failing to comply with data protection laws (e.g., GDPR), contractual security obligations, or industry standards such as ISO 27001 or SOC 2.</t>
  </si>
  <si>
    <t>Risk of service outages, cloud downtime, DDoS attacks, or infrastructure failures impacting SaaS platform availability and customer SLAs.</t>
  </si>
  <si>
    <t>Risk of inadequate incident detection, response, disaster recovery, or business continuity planning, leading to prolonged downtime or reputational damage.</t>
  </si>
  <si>
    <t>Description / Role in Risk Management</t>
  </si>
  <si>
    <t>Manages infrastructure, networks, security systems, software development, and IT operations. Primary owner of most cybersecurity risks.</t>
  </si>
  <si>
    <t>Handles customer accounts and data; exposed to risks like data breaches, compliance, and operational disruptions.</t>
  </si>
  <si>
    <t>Responsible for financial systems, reporting, and payment processes; manages risks like fraud, ransomware, and vendor payment security.</t>
  </si>
  <si>
    <t>Legal / Compliance</t>
  </si>
  <si>
    <t>Ensures regulatory compliance, contract management, data protection, and internal policies; owner of non-compliance and contractual risks.</t>
  </si>
  <si>
    <t>Manages vendors, third-party software, and service contracts; oversees supply chain risks.</t>
  </si>
  <si>
    <t>Handles employee onboarding, training, and insider threat mitigation; involved in social engineering and identity/access risks.</t>
  </si>
  <si>
    <t>Customer Support / Operations</t>
  </si>
  <si>
    <t>Ensures uptime and service delivery; exposed to operational disruption risks and SLA compliance.</t>
  </si>
  <si>
    <t>Executive / IT Governance</t>
  </si>
  <si>
    <t>Negligible impact. Minimal disruption to operations, no significant financial loss, and no material effect on customers or assets.</t>
  </si>
  <si>
    <t>Limited impact. Minor operational disruption, small financial loss, minor degradation of service or assets, or minimal customer/user impact.</t>
  </si>
  <si>
    <t>Noticeable impact. Significant operational degradation, moderate financial loss, or noticeable effect on customer experience or critical assets.</t>
  </si>
  <si>
    <t>Severe impact. Major operational disruption, substantial financial loss, critical system or service downtime, or serious negative effect on customers or stakeholders.</t>
  </si>
  <si>
    <t>Extreme impact. Multiple critical systems affected, catastrophic financial loss, major customer or reputational damage, or significant breach of data security.</t>
  </si>
  <si>
    <t>This Risk Register has been developed for a mid-size SaaS Technology Company to identify, assess, and manage potential risks that could impact organizational operations, data security, and service delivery. The register captures key risks across multiple categories including Data Breach, Ransomware, Insider Threats, System Vulnerabilities, Social Engineering, Identity and Access, Supply Chain, Non-compliance, Operational Disruption, and Response &amp; Recovery.
Each risk is evaluated based on its Impact and Likelihood, with inherent and residual risk levels calculated to prioritize mitigation actions. The register also assigns clear risk ownership, establishes control measures, and defines review timelines to ensure continuous monitoring and improvement.
This structured approach supports governance, risk management, and compliance (GRC) efforts, helping the organization maintain operational resilience, protect sensitive data, and comply with industry standards and regulations.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</si>
</sst>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409]dd\-mmm\-yy;@"/>
    <numFmt numFmtId="166" formatCode=";;;"/>
    <numFmt numFmtId="167" formatCode="[$-409]d\-mmm\-yyyy;@"/>
    <numFmt numFmtId="168" formatCode="0.0"/>
  </numFmts>
  <fonts count="49" x14ac:knownFonts="1">
    <font>
      <sz val="11"/>
      <color theme="1"/>
      <name val="Calibri"/>
      <family val="2"/>
      <scheme val="minor"/>
    </font>
    <font>
      <sz val="11"/>
      <color theme="1"/>
      <name val="Segoe UI"/>
      <family val="2"/>
    </font>
    <font>
      <sz val="11"/>
      <color theme="1"/>
      <name val="Segoe UI"/>
      <family val="2"/>
    </font>
    <font>
      <sz val="11"/>
      <color theme="1"/>
      <name val="Segoe UI"/>
      <family val="2"/>
    </font>
    <font>
      <b/>
      <sz val="11"/>
      <color theme="1"/>
      <name val="Calibri"/>
      <family val="2"/>
      <scheme val="minor"/>
    </font>
    <font>
      <b/>
      <sz val="15"/>
      <color theme="3"/>
      <name val="Calibri"/>
      <family val="2"/>
      <scheme val="minor"/>
    </font>
    <font>
      <sz val="12"/>
      <color theme="1"/>
      <name val="Calibri"/>
      <family val="2"/>
      <scheme val="minor"/>
    </font>
    <font>
      <b/>
      <sz val="18"/>
      <color theme="3"/>
      <name val="Calibri Light"/>
      <family val="2"/>
      <scheme val="major"/>
    </font>
    <font>
      <u/>
      <sz val="12"/>
      <color theme="3" tint="0.39994506668294322"/>
      <name val="Calibri"/>
      <family val="2"/>
      <scheme val="minor"/>
    </font>
    <font>
      <b/>
      <sz val="24"/>
      <color rgb="FF0070C0"/>
      <name val="Segoe UI"/>
      <family val="2"/>
    </font>
    <font>
      <sz val="12"/>
      <color rgb="FF0070C0"/>
      <name val="Segoe UI"/>
      <family val="2"/>
    </font>
    <font>
      <sz val="12"/>
      <color theme="1"/>
      <name val="Segoe UI"/>
      <family val="2"/>
    </font>
    <font>
      <b/>
      <sz val="10"/>
      <color rgb="FF0070C0"/>
      <name val="Segoe UI"/>
      <family val="2"/>
    </font>
    <font>
      <sz val="11"/>
      <color theme="1"/>
      <name val="Segoe UI"/>
      <family val="2"/>
    </font>
    <font>
      <i/>
      <sz val="11"/>
      <color rgb="FF000000"/>
      <name val="Segoe UI"/>
      <family val="2"/>
    </font>
    <font>
      <b/>
      <sz val="10"/>
      <color theme="3"/>
      <name val="Segoe UI"/>
      <family val="2"/>
    </font>
    <font>
      <b/>
      <sz val="24"/>
      <color theme="3"/>
      <name val="Segoe UI"/>
      <family val="2"/>
    </font>
    <font>
      <b/>
      <sz val="20"/>
      <color theme="3"/>
      <name val="Segoe UI"/>
      <family val="2"/>
    </font>
    <font>
      <sz val="10"/>
      <color theme="1"/>
      <name val="Segoe UI"/>
      <family val="2"/>
    </font>
    <font>
      <b/>
      <sz val="10"/>
      <color theme="1"/>
      <name val="Segoe UI"/>
      <family val="2"/>
    </font>
    <font>
      <sz val="10"/>
      <name val="Arial"/>
      <family val="2"/>
    </font>
    <font>
      <sz val="10"/>
      <color indexed="8"/>
      <name val="Times New Roman"/>
      <family val="1"/>
    </font>
    <font>
      <sz val="8"/>
      <name val="Calibri"/>
      <family val="2"/>
      <scheme val="minor"/>
    </font>
    <font>
      <b/>
      <sz val="12"/>
      <color theme="0"/>
      <name val="Segoe UI"/>
      <family val="2"/>
    </font>
    <font>
      <b/>
      <sz val="12"/>
      <color rgb="FF003060"/>
      <name val="Segoe UI"/>
      <family val="2"/>
    </font>
    <font>
      <i/>
      <sz val="10"/>
      <color theme="1"/>
      <name val="Segoe UI"/>
      <family val="2"/>
    </font>
    <font>
      <b/>
      <i/>
      <sz val="10"/>
      <color theme="1"/>
      <name val="Segoe UI"/>
      <family val="2"/>
    </font>
    <font>
      <b/>
      <sz val="10"/>
      <name val="Segoe UI"/>
      <family val="2"/>
    </font>
    <font>
      <b/>
      <sz val="10"/>
      <color theme="0"/>
      <name val="Segoe UI"/>
      <family val="2"/>
    </font>
    <font>
      <i/>
      <sz val="14"/>
      <color theme="1"/>
      <name val="Segoe UI"/>
      <family val="2"/>
    </font>
    <font>
      <u/>
      <sz val="11"/>
      <color theme="10"/>
      <name val="Calibri"/>
      <family val="2"/>
      <scheme val="minor"/>
    </font>
    <font>
      <sz val="12"/>
      <color theme="0"/>
      <name val="Segoe UI"/>
      <family val="2"/>
    </font>
    <font>
      <b/>
      <sz val="28"/>
      <color theme="4" tint="-0.249977111117893"/>
      <name val="Segoe UI"/>
      <family val="2"/>
    </font>
    <font>
      <sz val="11"/>
      <color theme="1"/>
      <name val="Calibri"/>
      <family val="2"/>
      <scheme val="minor"/>
    </font>
    <font>
      <b/>
      <sz val="16"/>
      <color rgb="FF0070C0"/>
      <name val="Segoe UI"/>
      <family val="2"/>
    </font>
    <font>
      <b/>
      <sz val="16"/>
      <color theme="1"/>
      <name val="Segoe UI"/>
      <family val="2"/>
    </font>
    <font>
      <sz val="26"/>
      <color theme="1"/>
      <name val="Segoe UI Black"/>
      <family val="2"/>
    </font>
    <font>
      <sz val="26"/>
      <color theme="0"/>
      <name val="Segoe UI Black"/>
      <family val="2"/>
    </font>
    <font>
      <sz val="11"/>
      <color rgb="FF252B42"/>
      <name val="Segoe UI"/>
      <family val="2"/>
    </font>
    <font>
      <b/>
      <sz val="16"/>
      <color theme="0"/>
      <name val="Segoe UI"/>
      <family val="2"/>
    </font>
    <font>
      <u/>
      <sz val="11"/>
      <color theme="1"/>
      <name val="Segoe UI"/>
      <family val="2"/>
    </font>
    <font>
      <i/>
      <u/>
      <sz val="14"/>
      <color theme="1"/>
      <name val="Segoe UI"/>
      <family val="2"/>
    </font>
    <font>
      <b/>
      <sz val="11"/>
      <color theme="1"/>
      <name val="Segoe UI"/>
    </font>
    <font>
      <sz val="22"/>
      <color theme="1" tint="0.499984740745262"/>
      <name val="Segoe UI Black"/>
      <family val="2"/>
    </font>
    <font>
      <sz val="16"/>
      <color theme="1"/>
      <name val="Segoe UI"/>
    </font>
    <font>
      <sz val="14"/>
      <color rgb="FFFF0000"/>
      <name val="Segoe UI Black"/>
      <family val="2"/>
    </font>
    <font>
      <sz val="16"/>
      <color rgb="FF00B050"/>
      <name val="Segoe UI Black"/>
      <family val="2"/>
    </font>
    <font>
      <sz val="14"/>
      <color rgb="FF252B42"/>
      <name val="Times New Roman"/>
      <family val="1"/>
    </font>
    <font>
      <b/>
      <sz val="24"/>
      <color rgb="FFFF5E8D"/>
      <name val="Rockwell Nova Extra Bold"/>
      <family val="1"/>
    </font>
  </fonts>
  <fills count="22">
    <fill>
      <patternFill patternType="none"/>
    </fill>
    <fill>
      <patternFill patternType="gray125"/>
    </fill>
    <fill>
      <patternFill patternType="solid">
        <fgColor rgb="FFF3FAFF"/>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49998474074526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EFF6FE"/>
        <bgColor indexed="64"/>
      </patternFill>
    </fill>
    <fill>
      <patternFill patternType="solid">
        <fgColor theme="1"/>
        <bgColor indexed="64"/>
      </patternFill>
    </fill>
    <fill>
      <patternFill patternType="solid">
        <fgColor theme="2" tint="-9.9978637043366805E-2"/>
        <bgColor indexed="64"/>
      </patternFill>
    </fill>
    <fill>
      <patternFill patternType="solid">
        <fgColor rgb="FFF5F5FC"/>
        <bgColor indexed="64"/>
      </patternFill>
    </fill>
    <fill>
      <patternFill patternType="solid">
        <fgColor rgb="FF800000"/>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rgb="FFFFC000"/>
        <bgColor indexed="64"/>
      </patternFill>
    </fill>
    <fill>
      <patternFill patternType="solid">
        <fgColor rgb="FFC00000"/>
        <bgColor indexed="64"/>
      </patternFill>
    </fill>
    <fill>
      <patternFill patternType="solid">
        <fgColor theme="4"/>
        <bgColor indexed="64"/>
      </patternFill>
    </fill>
    <fill>
      <patternFill patternType="solid">
        <fgColor theme="9"/>
        <bgColor indexed="64"/>
      </patternFill>
    </fill>
  </fills>
  <borders count="35">
    <border>
      <left/>
      <right/>
      <top/>
      <bottom/>
      <diagonal/>
    </border>
    <border>
      <left/>
      <right/>
      <top/>
      <bottom style="thick">
        <color theme="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top style="thin">
        <color theme="1"/>
      </top>
      <bottom style="thin">
        <color theme="4" tint="0.39997558519241921"/>
      </bottom>
      <diagonal/>
    </border>
    <border>
      <left/>
      <right/>
      <top style="thin">
        <color theme="1"/>
      </top>
      <bottom style="thin">
        <color theme="4" tint="0.39997558519241921"/>
      </bottom>
      <diagonal/>
    </border>
    <border>
      <left/>
      <right style="thin">
        <color theme="1"/>
      </right>
      <top style="thin">
        <color theme="1"/>
      </top>
      <bottom style="thin">
        <color theme="4" tint="0.39997558519241921"/>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0" fontId="5" fillId="0" borderId="1" applyNumberFormat="0" applyFill="0" applyAlignment="0" applyProtection="0"/>
    <xf numFmtId="0" fontId="6" fillId="0" borderId="0"/>
    <xf numFmtId="0" fontId="7" fillId="0" borderId="0" applyNumberFormat="0" applyFill="0" applyBorder="0" applyAlignment="0" applyProtection="0"/>
    <xf numFmtId="0" fontId="8" fillId="0" borderId="0" applyNumberFormat="0" applyFill="0" applyBorder="0" applyAlignment="0" applyProtection="0"/>
    <xf numFmtId="0" fontId="20" fillId="0" borderId="0"/>
    <xf numFmtId="0" fontId="30" fillId="0" borderId="0" applyNumberFormat="0" applyFill="0" applyBorder="0" applyAlignment="0" applyProtection="0"/>
    <xf numFmtId="9" fontId="33" fillId="0" borderId="0" applyFont="0" applyFill="0" applyBorder="0" applyAlignment="0" applyProtection="0"/>
  </cellStyleXfs>
  <cellXfs count="213">
    <xf numFmtId="0" fontId="0" fillId="0" borderId="0" xfId="0"/>
    <xf numFmtId="0" fontId="11" fillId="0" borderId="0" xfId="2" applyFont="1" applyAlignment="1">
      <alignment vertical="center"/>
    </xf>
    <xf numFmtId="0" fontId="13" fillId="0" borderId="0" xfId="2" applyFont="1" applyAlignment="1">
      <alignment vertical="center"/>
    </xf>
    <xf numFmtId="0" fontId="14" fillId="0" borderId="0" xfId="0" applyFont="1" applyAlignment="1">
      <alignment horizontal="left" vertical="center"/>
    </xf>
    <xf numFmtId="0" fontId="18" fillId="0" borderId="0" xfId="0" applyFont="1"/>
    <xf numFmtId="0" fontId="20" fillId="0" borderId="0" xfId="0" applyFont="1"/>
    <xf numFmtId="0" fontId="21" fillId="0" borderId="0" xfId="0" applyFont="1"/>
    <xf numFmtId="0" fontId="21" fillId="0" borderId="0" xfId="0" applyFont="1" applyAlignment="1">
      <alignment horizontal="center" vertical="top" wrapText="1"/>
    </xf>
    <xf numFmtId="0" fontId="0" fillId="0" borderId="0" xfId="0" applyAlignment="1">
      <alignment wrapText="1"/>
    </xf>
    <xf numFmtId="0" fontId="0" fillId="0" borderId="0" xfId="0" applyAlignment="1">
      <alignment horizontal="center"/>
    </xf>
    <xf numFmtId="0" fontId="18" fillId="0" borderId="4" xfId="0" applyFont="1" applyBorder="1"/>
    <xf numFmtId="0" fontId="12" fillId="2" borderId="4" xfId="3" applyFont="1" applyFill="1" applyBorder="1" applyAlignment="1" applyProtection="1">
      <alignment vertical="center" wrapText="1"/>
    </xf>
    <xf numFmtId="0" fontId="12" fillId="2" borderId="4" xfId="3" applyFont="1" applyFill="1" applyBorder="1" applyAlignment="1">
      <alignment vertical="center"/>
    </xf>
    <xf numFmtId="0" fontId="0" fillId="0" borderId="0" xfId="0" applyAlignment="1">
      <alignment vertical="center" wrapText="1"/>
    </xf>
    <xf numFmtId="0" fontId="18" fillId="0" borderId="4" xfId="0" quotePrefix="1" applyFont="1" applyBorder="1" applyAlignment="1">
      <alignment vertical="center" wrapText="1"/>
    </xf>
    <xf numFmtId="0" fontId="12" fillId="2" borderId="4" xfId="3" applyFont="1" applyFill="1" applyBorder="1" applyAlignment="1" applyProtection="1">
      <alignment horizontal="left" vertical="center" wrapText="1"/>
    </xf>
    <xf numFmtId="0" fontId="0" fillId="0" borderId="0" xfId="0" applyAlignment="1">
      <alignment vertical="top"/>
    </xf>
    <xf numFmtId="0" fontId="0" fillId="0" borderId="0" xfId="0" applyAlignment="1">
      <alignment horizontal="center" vertical="top"/>
    </xf>
    <xf numFmtId="0" fontId="27" fillId="6" borderId="4" xfId="3" applyFont="1" applyFill="1" applyBorder="1" applyAlignment="1" applyProtection="1">
      <alignment horizontal="left" vertical="center" wrapText="1"/>
    </xf>
    <xf numFmtId="0" fontId="28" fillId="5" borderId="4" xfId="3" applyFont="1" applyFill="1" applyBorder="1" applyAlignment="1" applyProtection="1">
      <alignment vertical="center" wrapText="1"/>
    </xf>
    <xf numFmtId="0" fontId="0" fillId="0" borderId="0" xfId="0" applyAlignment="1">
      <alignment vertical="top" wrapText="1"/>
    </xf>
    <xf numFmtId="0" fontId="3" fillId="0" borderId="0" xfId="0" applyFont="1"/>
    <xf numFmtId="0" fontId="3" fillId="0" borderId="0" xfId="0" applyFont="1" applyAlignment="1">
      <alignment horizontal="center" vertical="center"/>
    </xf>
    <xf numFmtId="0" fontId="29" fillId="0" borderId="0" xfId="0" applyFont="1"/>
    <xf numFmtId="0" fontId="0" fillId="10" borderId="0" xfId="0" applyFill="1" applyAlignment="1">
      <alignment vertical="top"/>
    </xf>
    <xf numFmtId="0" fontId="0" fillId="10" borderId="0" xfId="0" applyFill="1" applyAlignment="1">
      <alignment horizontal="center" vertical="top"/>
    </xf>
    <xf numFmtId="15" fontId="0" fillId="0" borderId="0" xfId="0" applyNumberFormat="1" applyAlignment="1">
      <alignment vertical="top"/>
    </xf>
    <xf numFmtId="0" fontId="18" fillId="3" borderId="0" xfId="0" applyFont="1" applyFill="1" applyAlignment="1">
      <alignment vertical="top"/>
    </xf>
    <xf numFmtId="0" fontId="18" fillId="0" borderId="0" xfId="0" applyFont="1" applyAlignment="1">
      <alignment vertical="top"/>
    </xf>
    <xf numFmtId="0" fontId="18" fillId="11" borderId="0" xfId="0" applyFont="1" applyFill="1" applyAlignment="1">
      <alignment vertical="top"/>
    </xf>
    <xf numFmtId="0" fontId="0" fillId="0" borderId="0" xfId="0" pivotButton="1" applyAlignment="1">
      <alignment vertical="top"/>
    </xf>
    <xf numFmtId="0" fontId="0" fillId="0" borderId="0" xfId="0" applyAlignment="1">
      <alignment horizontal="left" vertical="top"/>
    </xf>
    <xf numFmtId="0" fontId="4" fillId="0" borderId="4" xfId="0" applyFont="1" applyBorder="1" applyAlignment="1">
      <alignment horizontal="right" vertical="top"/>
    </xf>
    <xf numFmtId="0" fontId="0" fillId="0" borderId="4" xfId="0" applyBorder="1" applyAlignment="1">
      <alignment horizontal="left" vertical="top"/>
    </xf>
    <xf numFmtId="0" fontId="0" fillId="0" borderId="4" xfId="0" applyBorder="1" applyAlignment="1">
      <alignment horizontal="center" vertical="center"/>
    </xf>
    <xf numFmtId="0" fontId="18" fillId="0" borderId="4" xfId="0" applyFont="1" applyBorder="1" applyAlignment="1">
      <alignment horizontal="center" vertical="center"/>
    </xf>
    <xf numFmtId="0" fontId="18" fillId="0" borderId="4" xfId="0" applyFont="1" applyBorder="1" applyAlignment="1">
      <alignment vertical="top"/>
    </xf>
    <xf numFmtId="0" fontId="19" fillId="0" borderId="0" xfId="0" applyFont="1" applyAlignment="1">
      <alignment horizontal="center" vertical="center"/>
    </xf>
    <xf numFmtId="0" fontId="0" fillId="0" borderId="0" xfId="0" applyAlignment="1">
      <alignment horizontal="center" vertical="center"/>
    </xf>
    <xf numFmtId="0" fontId="4" fillId="9" borderId="4" xfId="0" applyFont="1" applyFill="1" applyBorder="1" applyAlignment="1">
      <alignment horizontal="center" vertical="center"/>
    </xf>
    <xf numFmtId="0" fontId="27" fillId="13" borderId="0" xfId="3" applyFont="1" applyFill="1" applyBorder="1" applyAlignment="1" applyProtection="1">
      <alignment vertical="center" wrapText="1"/>
    </xf>
    <xf numFmtId="0" fontId="0" fillId="0" borderId="4" xfId="0" applyBorder="1"/>
    <xf numFmtId="0" fontId="19" fillId="0" borderId="0" xfId="0" applyFont="1" applyAlignment="1">
      <alignment vertical="top"/>
    </xf>
    <xf numFmtId="0" fontId="19" fillId="0" borderId="0" xfId="0" applyFont="1" applyAlignment="1">
      <alignment horizontal="right" vertical="top"/>
    </xf>
    <xf numFmtId="10" fontId="0" fillId="0" borderId="0" xfId="0" applyNumberFormat="1" applyAlignment="1">
      <alignment vertical="top"/>
    </xf>
    <xf numFmtId="9" fontId="0" fillId="0" borderId="10" xfId="7" applyFont="1" applyBorder="1" applyAlignment="1">
      <alignment horizontal="center" vertical="center"/>
    </xf>
    <xf numFmtId="0" fontId="4" fillId="9" borderId="9" xfId="0" applyFont="1" applyFill="1" applyBorder="1" applyAlignment="1">
      <alignment horizontal="center" vertical="center"/>
    </xf>
    <xf numFmtId="0" fontId="24" fillId="3" borderId="4" xfId="3" applyFont="1" applyFill="1" applyBorder="1" applyAlignment="1" applyProtection="1">
      <alignment vertical="center"/>
    </xf>
    <xf numFmtId="164" fontId="0" fillId="0" borderId="0" xfId="0" applyNumberFormat="1"/>
    <xf numFmtId="165" fontId="0" fillId="0" borderId="0" xfId="0" applyNumberFormat="1"/>
    <xf numFmtId="0" fontId="2" fillId="0" borderId="10" xfId="0" applyFont="1" applyBorder="1" applyAlignment="1">
      <alignment horizontal="center" vertical="center"/>
    </xf>
    <xf numFmtId="15" fontId="3" fillId="0" borderId="10" xfId="0" applyNumberFormat="1" applyFont="1" applyBorder="1" applyAlignment="1">
      <alignment horizontal="center" vertical="center"/>
    </xf>
    <xf numFmtId="0" fontId="3" fillId="0" borderId="10" xfId="0" applyFont="1" applyBorder="1" applyAlignment="1">
      <alignment horizontal="center" vertical="center"/>
    </xf>
    <xf numFmtId="9" fontId="4" fillId="9" borderId="4" xfId="7" applyFont="1" applyFill="1" applyBorder="1" applyAlignment="1">
      <alignment horizontal="center" vertical="center"/>
    </xf>
    <xf numFmtId="0" fontId="18" fillId="0" borderId="0" xfId="0" applyFont="1" applyAlignment="1">
      <alignment horizontal="left" vertical="top"/>
    </xf>
    <xf numFmtId="167" fontId="12" fillId="2" borderId="4" xfId="3" applyNumberFormat="1" applyFont="1" applyFill="1" applyBorder="1" applyAlignment="1" applyProtection="1">
      <alignment horizontal="left" vertical="center" wrapText="1"/>
    </xf>
    <xf numFmtId="167" fontId="0" fillId="0" borderId="0" xfId="0" applyNumberFormat="1" applyAlignment="1">
      <alignment vertical="top"/>
    </xf>
    <xf numFmtId="0" fontId="35" fillId="0" borderId="5" xfId="0" quotePrefix="1" applyFont="1" applyBorder="1" applyAlignment="1">
      <alignment horizontal="center" vertical="center" wrapText="1"/>
    </xf>
    <xf numFmtId="0" fontId="0" fillId="0" borderId="4" xfId="0" quotePrefix="1" applyBorder="1"/>
    <xf numFmtId="0" fontId="9" fillId="0" borderId="0" xfId="3" applyFont="1" applyFill="1" applyAlignment="1" applyProtection="1">
      <alignment horizontal="left" vertical="center"/>
    </xf>
    <xf numFmtId="0" fontId="9" fillId="0" borderId="0" xfId="3" applyFont="1" applyFill="1" applyAlignment="1" applyProtection="1">
      <alignment horizontal="center" vertical="center"/>
    </xf>
    <xf numFmtId="0" fontId="10" fillId="0" borderId="0" xfId="2" applyFont="1" applyAlignment="1">
      <alignment vertical="center"/>
    </xf>
    <xf numFmtId="0" fontId="10" fillId="0" borderId="0" xfId="2" applyFont="1" applyAlignment="1">
      <alignment horizontal="center" vertical="center"/>
    </xf>
    <xf numFmtId="0" fontId="10" fillId="0" borderId="0" xfId="2" applyFont="1" applyAlignment="1">
      <alignment vertical="center" wrapText="1"/>
    </xf>
    <xf numFmtId="0" fontId="15" fillId="14" borderId="0" xfId="3" applyFont="1" applyFill="1" applyAlignment="1" applyProtection="1">
      <alignment vertical="center"/>
    </xf>
    <xf numFmtId="0" fontId="16" fillId="14" borderId="0" xfId="3" applyFont="1" applyFill="1" applyAlignment="1" applyProtection="1">
      <alignment vertical="center"/>
    </xf>
    <xf numFmtId="0" fontId="17" fillId="14" borderId="0" xfId="1" applyFont="1" applyFill="1" applyBorder="1" applyAlignment="1" applyProtection="1">
      <alignment horizontal="center" vertical="center"/>
    </xf>
    <xf numFmtId="0" fontId="30" fillId="14" borderId="0" xfId="6" applyFill="1" applyBorder="1" applyAlignment="1" applyProtection="1">
      <alignment horizontal="left" vertical="center"/>
    </xf>
    <xf numFmtId="0" fontId="11" fillId="14" borderId="0" xfId="2" applyFont="1" applyFill="1" applyAlignment="1">
      <alignment vertical="center"/>
    </xf>
    <xf numFmtId="0" fontId="39" fillId="0" borderId="8" xfId="0" quotePrefix="1" applyFont="1" applyBorder="1" applyAlignment="1">
      <alignment horizontal="center" vertical="center" wrapText="1"/>
    </xf>
    <xf numFmtId="0" fontId="40" fillId="0" borderId="0" xfId="0" applyFont="1"/>
    <xf numFmtId="0" fontId="41" fillId="0" borderId="0" xfId="0" applyFont="1"/>
    <xf numFmtId="0" fontId="40" fillId="0" borderId="0" xfId="0" applyFont="1" applyAlignment="1">
      <alignment horizontal="center" vertical="center"/>
    </xf>
    <xf numFmtId="0" fontId="1" fillId="0" borderId="10" xfId="0" applyFont="1" applyBorder="1" applyAlignment="1">
      <alignment horizontal="center" vertical="center"/>
    </xf>
    <xf numFmtId="167" fontId="0" fillId="0" borderId="0" xfId="0" applyNumberFormat="1" applyAlignment="1">
      <alignment vertical="top" wrapText="1"/>
    </xf>
    <xf numFmtId="0" fontId="4" fillId="0" borderId="0" xfId="0" applyFont="1" applyAlignment="1">
      <alignment horizontal="right" vertical="center"/>
    </xf>
    <xf numFmtId="15" fontId="0" fillId="0" borderId="4" xfId="0" quotePrefix="1" applyNumberFormat="1" applyBorder="1"/>
    <xf numFmtId="168" fontId="0" fillId="0" borderId="4" xfId="0" applyNumberFormat="1" applyBorder="1"/>
    <xf numFmtId="0" fontId="18" fillId="0" borderId="4" xfId="0" quotePrefix="1" applyFont="1" applyBorder="1" applyAlignment="1">
      <alignment horizontal="center" vertical="center" wrapText="1"/>
    </xf>
    <xf numFmtId="0" fontId="0" fillId="4" borderId="4" xfId="0" applyFill="1" applyBorder="1"/>
    <xf numFmtId="166" fontId="0" fillId="0" borderId="0" xfId="0" applyNumberFormat="1" applyAlignment="1">
      <alignment horizontal="center" vertical="center"/>
    </xf>
    <xf numFmtId="0" fontId="44" fillId="0" borderId="15" xfId="0" quotePrefix="1" applyFont="1" applyBorder="1" applyAlignment="1">
      <alignment horizontal="center" vertical="center" wrapText="1"/>
    </xf>
    <xf numFmtId="0" fontId="44" fillId="0" borderId="16" xfId="0" quotePrefix="1" applyFont="1" applyBorder="1" applyAlignment="1">
      <alignment horizontal="center" vertical="center" wrapText="1"/>
    </xf>
    <xf numFmtId="165" fontId="4" fillId="9" borderId="17" xfId="0" applyNumberFormat="1" applyFont="1" applyFill="1" applyBorder="1" applyAlignment="1">
      <alignment horizontal="center" vertical="center" textRotation="90"/>
    </xf>
    <xf numFmtId="165" fontId="4" fillId="9" borderId="18" xfId="0" applyNumberFormat="1" applyFont="1" applyFill="1" applyBorder="1" applyAlignment="1">
      <alignment horizontal="center" vertical="center" textRotation="90"/>
    </xf>
    <xf numFmtId="165" fontId="4" fillId="9" borderId="19" xfId="0" applyNumberFormat="1" applyFont="1" applyFill="1" applyBorder="1" applyAlignment="1">
      <alignment horizontal="center" vertical="center" textRotation="90"/>
    </xf>
    <xf numFmtId="166" fontId="0" fillId="0" borderId="20" xfId="0" applyNumberFormat="1" applyBorder="1" applyAlignment="1">
      <alignment horizontal="center" vertical="center"/>
    </xf>
    <xf numFmtId="166" fontId="0" fillId="0" borderId="21" xfId="0" applyNumberFormat="1" applyBorder="1" applyAlignment="1">
      <alignment horizontal="center" vertical="center"/>
    </xf>
    <xf numFmtId="166" fontId="0" fillId="0" borderId="22" xfId="0" applyNumberFormat="1" applyBorder="1" applyAlignment="1">
      <alignment horizontal="center" vertical="center"/>
    </xf>
    <xf numFmtId="166" fontId="0" fillId="0" borderId="23" xfId="0" applyNumberFormat="1" applyBorder="1" applyAlignment="1">
      <alignment horizontal="center" vertical="center"/>
    </xf>
    <xf numFmtId="166" fontId="0" fillId="0" borderId="24" xfId="0" applyNumberFormat="1" applyBorder="1" applyAlignment="1">
      <alignment horizontal="center" vertical="center"/>
    </xf>
    <xf numFmtId="0" fontId="0" fillId="0" borderId="20" xfId="0" applyBorder="1" applyAlignment="1">
      <alignment horizontal="left"/>
    </xf>
    <xf numFmtId="164" fontId="0" fillId="0" borderId="21" xfId="0" applyNumberFormat="1" applyBorder="1" applyAlignment="1">
      <alignment horizontal="right"/>
    </xf>
    <xf numFmtId="0" fontId="0" fillId="0" borderId="20" xfId="0" applyBorder="1"/>
    <xf numFmtId="0" fontId="0" fillId="0" borderId="21" xfId="0" applyBorder="1"/>
    <xf numFmtId="0" fontId="3" fillId="0" borderId="20" xfId="0" applyFont="1" applyBorder="1"/>
    <xf numFmtId="0" fontId="3" fillId="0" borderId="21" xfId="0" applyFont="1" applyBorder="1"/>
    <xf numFmtId="0" fontId="3" fillId="0" borderId="22" xfId="0" applyFont="1" applyBorder="1"/>
    <xf numFmtId="0" fontId="29" fillId="0" borderId="23" xfId="0" applyFont="1" applyBorder="1"/>
    <xf numFmtId="0" fontId="3" fillId="0" borderId="24" xfId="0" applyFont="1" applyBorder="1"/>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167" fontId="0" fillId="0" borderId="21" xfId="0" applyNumberFormat="1" applyBorder="1" applyAlignment="1">
      <alignment horizontal="right"/>
    </xf>
    <xf numFmtId="0" fontId="0" fillId="0" borderId="22" xfId="0" applyBorder="1"/>
    <xf numFmtId="0" fontId="0" fillId="0" borderId="23" xfId="0" applyBorder="1"/>
    <xf numFmtId="0" fontId="0" fillId="0" borderId="24" xfId="0" applyBorder="1"/>
    <xf numFmtId="0" fontId="3" fillId="0" borderId="16"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0" fillId="0" borderId="16" xfId="0" pivotButton="1" applyBorder="1"/>
    <xf numFmtId="0" fontId="0" fillId="0" borderId="29" xfId="0" applyBorder="1"/>
    <xf numFmtId="0" fontId="0" fillId="0" borderId="0" xfId="0" applyAlignment="1">
      <alignment horizontal="right"/>
    </xf>
    <xf numFmtId="0" fontId="0" fillId="0" borderId="15" xfId="0" pivotButton="1" applyBorder="1"/>
    <xf numFmtId="0" fontId="0" fillId="0" borderId="30" xfId="0" applyBorder="1" applyAlignment="1">
      <alignment horizontal="left"/>
    </xf>
    <xf numFmtId="0" fontId="0" fillId="0" borderId="31" xfId="0" applyBorder="1" applyAlignment="1">
      <alignment horizontal="left"/>
    </xf>
    <xf numFmtId="0" fontId="0" fillId="0" borderId="32" xfId="0" applyBorder="1" applyAlignment="1">
      <alignment horizontal="left"/>
    </xf>
    <xf numFmtId="0" fontId="0" fillId="0" borderId="25" xfId="0" pivotButton="1" applyBorder="1" applyAlignment="1">
      <alignment vertical="top" wrapText="1"/>
    </xf>
    <xf numFmtId="0" fontId="0" fillId="0" borderId="26" xfId="0" applyBorder="1" applyAlignment="1">
      <alignment vertical="top" wrapText="1"/>
    </xf>
    <xf numFmtId="0" fontId="0" fillId="0" borderId="27" xfId="0" applyBorder="1" applyAlignment="1">
      <alignment vertical="top" wrapText="1"/>
    </xf>
    <xf numFmtId="164" fontId="0" fillId="0" borderId="24" xfId="0" applyNumberFormat="1" applyBorder="1" applyAlignment="1">
      <alignment horizontal="right"/>
    </xf>
    <xf numFmtId="165" fontId="0" fillId="0" borderId="25" xfId="0" applyNumberFormat="1" applyBorder="1" applyAlignment="1">
      <alignment horizontal="right"/>
    </xf>
    <xf numFmtId="164" fontId="0" fillId="0" borderId="27" xfId="0" applyNumberFormat="1" applyBorder="1" applyAlignment="1">
      <alignment horizontal="right"/>
    </xf>
    <xf numFmtId="165" fontId="0" fillId="0" borderId="20" xfId="0" applyNumberFormat="1" applyBorder="1" applyAlignment="1">
      <alignment horizontal="right"/>
    </xf>
    <xf numFmtId="165" fontId="0" fillId="0" borderId="22" xfId="0" applyNumberFormat="1" applyBorder="1" applyAlignment="1">
      <alignment horizontal="right"/>
    </xf>
    <xf numFmtId="0" fontId="0" fillId="0" borderId="16" xfId="0" applyBorder="1" applyAlignment="1">
      <alignment horizontal="right"/>
    </xf>
    <xf numFmtId="0" fontId="0" fillId="0" borderId="29" xfId="0" applyBorder="1" applyAlignment="1">
      <alignment horizontal="right"/>
    </xf>
    <xf numFmtId="0" fontId="38" fillId="14" borderId="0" xfId="2" applyFont="1" applyFill="1" applyAlignment="1">
      <alignment horizontal="left" vertical="center" wrapText="1"/>
    </xf>
    <xf numFmtId="0" fontId="13" fillId="14" borderId="0" xfId="2" applyFont="1" applyFill="1" applyAlignment="1">
      <alignment horizontal="left" vertical="center" wrapText="1"/>
    </xf>
    <xf numFmtId="0" fontId="39" fillId="0" borderId="11" xfId="0" quotePrefix="1" applyFont="1" applyBorder="1" applyAlignment="1">
      <alignment horizontal="center" vertical="center" wrapText="1"/>
    </xf>
    <xf numFmtId="0" fontId="39" fillId="0" borderId="3" xfId="0" quotePrefix="1" applyFont="1" applyBorder="1" applyAlignment="1">
      <alignment horizontal="center" vertical="center" wrapText="1"/>
    </xf>
    <xf numFmtId="0" fontId="39" fillId="0" borderId="13" xfId="0" quotePrefix="1" applyFont="1" applyBorder="1" applyAlignment="1">
      <alignment horizontal="center" vertical="center" wrapText="1"/>
    </xf>
    <xf numFmtId="0" fontId="35" fillId="0" borderId="14" xfId="0" quotePrefix="1" applyFont="1" applyBorder="1" applyAlignment="1">
      <alignment horizontal="center" vertical="center" wrapText="1"/>
    </xf>
    <xf numFmtId="0" fontId="35" fillId="0" borderId="2" xfId="0" quotePrefix="1" applyFont="1" applyBorder="1" applyAlignment="1">
      <alignment horizontal="center" vertical="center" wrapText="1"/>
    </xf>
    <xf numFmtId="0" fontId="35" fillId="0" borderId="12" xfId="0" quotePrefix="1" applyFont="1" applyBorder="1" applyAlignment="1">
      <alignment horizontal="center" vertical="center" wrapText="1"/>
    </xf>
    <xf numFmtId="0" fontId="37" fillId="17" borderId="11" xfId="0" applyFont="1" applyFill="1" applyBorder="1" applyAlignment="1">
      <alignment horizontal="center" vertical="center"/>
    </xf>
    <xf numFmtId="0" fontId="37" fillId="17" borderId="13" xfId="0" applyFont="1" applyFill="1" applyBorder="1" applyAlignment="1">
      <alignment horizontal="center" vertical="center"/>
    </xf>
    <xf numFmtId="0" fontId="36" fillId="16" borderId="5" xfId="0" applyFont="1" applyFill="1" applyBorder="1" applyAlignment="1">
      <alignment horizontal="center" vertical="center"/>
    </xf>
    <xf numFmtId="0" fontId="36" fillId="16" borderId="8" xfId="0" applyFont="1" applyFill="1" applyBorder="1" applyAlignment="1">
      <alignment horizontal="center" vertical="center"/>
    </xf>
    <xf numFmtId="0" fontId="37" fillId="17" borderId="5" xfId="0" applyFont="1" applyFill="1" applyBorder="1" applyAlignment="1">
      <alignment horizontal="center" vertical="center"/>
    </xf>
    <xf numFmtId="0" fontId="37" fillId="17" borderId="8" xfId="0" applyFont="1" applyFill="1" applyBorder="1" applyAlignment="1">
      <alignment horizontal="center" vertical="center"/>
    </xf>
    <xf numFmtId="0" fontId="36" fillId="16" borderId="5" xfId="0" quotePrefix="1" applyFont="1" applyFill="1" applyBorder="1" applyAlignment="1">
      <alignment horizontal="center" vertical="center"/>
    </xf>
    <xf numFmtId="0" fontId="36" fillId="16" borderId="8" xfId="0" quotePrefix="1" applyFont="1" applyFill="1" applyBorder="1" applyAlignment="1">
      <alignment horizontal="center" vertical="center"/>
    </xf>
    <xf numFmtId="0" fontId="36" fillId="16" borderId="11" xfId="0" applyFont="1" applyFill="1" applyBorder="1" applyAlignment="1">
      <alignment horizontal="center" vertical="center"/>
    </xf>
    <xf numFmtId="0" fontId="36" fillId="16" borderId="13" xfId="0" applyFont="1" applyFill="1" applyBorder="1" applyAlignment="1">
      <alignment horizontal="center" vertical="center"/>
    </xf>
    <xf numFmtId="0" fontId="37" fillId="17" borderId="11" xfId="0" quotePrefix="1" applyFont="1" applyFill="1" applyBorder="1" applyAlignment="1">
      <alignment horizontal="center" vertical="center"/>
    </xf>
    <xf numFmtId="0" fontId="37" fillId="17" borderId="13" xfId="0" quotePrefix="1" applyFont="1" applyFill="1" applyBorder="1" applyAlignment="1">
      <alignment horizontal="center" vertical="center"/>
    </xf>
    <xf numFmtId="0" fontId="32" fillId="0" borderId="0" xfId="0" applyFont="1" applyAlignment="1">
      <alignment horizontal="center" vertical="center"/>
    </xf>
    <xf numFmtId="0" fontId="37" fillId="15" borderId="5" xfId="0" applyFont="1" applyFill="1" applyBorder="1" applyAlignment="1">
      <alignment horizontal="center" vertical="center"/>
    </xf>
    <xf numFmtId="0" fontId="37" fillId="15" borderId="8" xfId="0" applyFont="1" applyFill="1" applyBorder="1" applyAlignment="1">
      <alignment horizontal="center" vertical="center"/>
    </xf>
    <xf numFmtId="0" fontId="36" fillId="16" borderId="4" xfId="0" applyFont="1" applyFill="1" applyBorder="1" applyAlignment="1">
      <alignment horizontal="center" vertical="center"/>
    </xf>
    <xf numFmtId="0" fontId="37" fillId="17" borderId="5" xfId="0" quotePrefix="1" applyFont="1" applyFill="1" applyBorder="1" applyAlignment="1">
      <alignment horizontal="center" vertical="center"/>
    </xf>
    <xf numFmtId="0" fontId="37" fillId="17" borderId="8" xfId="0" quotePrefix="1" applyFont="1" applyFill="1" applyBorder="1" applyAlignment="1">
      <alignment horizontal="center" vertical="center"/>
    </xf>
    <xf numFmtId="0" fontId="43" fillId="0" borderId="0" xfId="0" applyFont="1" applyAlignment="1">
      <alignment horizontal="center" vertical="center"/>
    </xf>
    <xf numFmtId="0" fontId="44" fillId="0" borderId="15" xfId="0" quotePrefix="1" applyFont="1" applyBorder="1" applyAlignment="1">
      <alignment horizontal="center" vertical="center" wrapText="1"/>
    </xf>
    <xf numFmtId="0" fontId="37" fillId="17" borderId="15" xfId="0" applyFont="1" applyFill="1" applyBorder="1" applyAlignment="1">
      <alignment horizontal="center" vertical="center"/>
    </xf>
    <xf numFmtId="0" fontId="36" fillId="16" borderId="15" xfId="0" applyFont="1" applyFill="1" applyBorder="1" applyAlignment="1">
      <alignment horizontal="center" vertical="center"/>
    </xf>
    <xf numFmtId="0" fontId="36" fillId="16" borderId="15" xfId="0" quotePrefix="1" applyFont="1" applyFill="1" applyBorder="1" applyAlignment="1">
      <alignment horizontal="center" vertical="center"/>
    </xf>
    <xf numFmtId="0" fontId="37" fillId="17" borderId="15" xfId="0" quotePrefix="1" applyFont="1" applyFill="1" applyBorder="1" applyAlignment="1">
      <alignment horizontal="center" vertical="center"/>
    </xf>
    <xf numFmtId="0" fontId="37" fillId="15" borderId="15" xfId="0" applyFont="1" applyFill="1" applyBorder="1" applyAlignment="1">
      <alignment horizontal="center" vertical="center"/>
    </xf>
    <xf numFmtId="0" fontId="43" fillId="0" borderId="0" xfId="0" applyFont="1" applyAlignment="1">
      <alignment horizontal="right" vertical="center" textRotation="90"/>
    </xf>
    <xf numFmtId="0" fontId="31" fillId="12" borderId="7" xfId="2" applyFont="1" applyFill="1" applyBorder="1" applyAlignment="1">
      <alignment horizontal="center" vertical="center" wrapText="1"/>
    </xf>
    <xf numFmtId="0" fontId="31" fillId="12" borderId="0" xfId="2" applyFont="1" applyFill="1" applyAlignment="1">
      <alignment horizontal="center" vertical="center" wrapText="1"/>
    </xf>
    <xf numFmtId="0" fontId="24" fillId="7" borderId="4" xfId="2" applyFont="1" applyFill="1" applyBorder="1" applyAlignment="1">
      <alignment horizontal="left" vertical="center"/>
    </xf>
    <xf numFmtId="0" fontId="23" fillId="8" borderId="4" xfId="2" applyFont="1" applyFill="1" applyBorder="1" applyAlignment="1">
      <alignment horizontal="left" vertical="center"/>
    </xf>
    <xf numFmtId="0" fontId="24" fillId="6" borderId="4" xfId="0" applyFont="1" applyFill="1" applyBorder="1" applyAlignment="1">
      <alignment horizontal="left" vertical="center" wrapText="1"/>
    </xf>
    <xf numFmtId="0" fontId="23" fillId="5" borderId="4" xfId="0" applyFont="1" applyFill="1" applyBorder="1" applyAlignment="1">
      <alignment horizontal="left" vertical="center" wrapText="1"/>
    </xf>
    <xf numFmtId="0" fontId="34" fillId="6" borderId="2" xfId="3" applyFont="1" applyFill="1" applyBorder="1" applyAlignment="1" applyProtection="1">
      <alignment horizontal="center" vertical="center"/>
    </xf>
    <xf numFmtId="0" fontId="18" fillId="11" borderId="0" xfId="0" applyFont="1" applyFill="1" applyAlignment="1">
      <alignment horizontal="left" vertical="top" wrapText="1"/>
    </xf>
    <xf numFmtId="0" fontId="19" fillId="3" borderId="0" xfId="0" applyFont="1" applyFill="1" applyAlignment="1">
      <alignment horizontal="left" vertical="top"/>
    </xf>
    <xf numFmtId="0" fontId="18" fillId="11" borderId="0" xfId="0" applyFont="1" applyFill="1" applyAlignment="1">
      <alignment horizontal="left" vertical="top"/>
    </xf>
    <xf numFmtId="0" fontId="42" fillId="0" borderId="0" xfId="0" applyFont="1" applyAlignment="1">
      <alignment horizontal="center" vertical="center"/>
    </xf>
    <xf numFmtId="0" fontId="25" fillId="0" borderId="0" xfId="0" applyFont="1" applyAlignment="1">
      <alignment horizontal="center" vertical="center" wrapText="1"/>
    </xf>
    <xf numFmtId="0" fontId="20" fillId="0" borderId="2" xfId="0" applyFont="1" applyBorder="1" applyAlignment="1">
      <alignment horizontal="center"/>
    </xf>
    <xf numFmtId="0" fontId="4" fillId="0" borderId="0" xfId="0" applyFont="1" applyAlignment="1">
      <alignment horizontal="center" vertical="center" wrapText="1"/>
    </xf>
    <xf numFmtId="15" fontId="0" fillId="0" borderId="0" xfId="0" applyNumberFormat="1" applyAlignment="1">
      <alignment vertical="center" wrapText="1"/>
    </xf>
    <xf numFmtId="0" fontId="0" fillId="20" borderId="0" xfId="0" applyFill="1"/>
    <xf numFmtId="0" fontId="4" fillId="0" borderId="0" xfId="0" applyFont="1" applyAlignment="1">
      <alignment vertical="center" wrapText="1"/>
    </xf>
    <xf numFmtId="0" fontId="18" fillId="19" borderId="4" xfId="0" quotePrefix="1" applyFont="1" applyFill="1" applyBorder="1" applyAlignment="1">
      <alignment vertical="center" wrapText="1"/>
    </xf>
    <xf numFmtId="0" fontId="18" fillId="18" borderId="4" xfId="0" quotePrefix="1" applyFont="1" applyFill="1" applyBorder="1" applyAlignment="1">
      <alignment vertical="center" wrapText="1"/>
    </xf>
    <xf numFmtId="0" fontId="18" fillId="21" borderId="4" xfId="0" quotePrefix="1" applyFont="1" applyFill="1" applyBorder="1" applyAlignment="1">
      <alignment vertical="center" wrapText="1"/>
    </xf>
    <xf numFmtId="0" fontId="12" fillId="2" borderId="34" xfId="3" applyFont="1" applyFill="1" applyBorder="1" applyAlignment="1">
      <alignment vertical="center"/>
    </xf>
    <xf numFmtId="0" fontId="12" fillId="2" borderId="34" xfId="3" applyFont="1" applyFill="1" applyBorder="1" applyAlignment="1">
      <alignment vertical="center" wrapText="1"/>
    </xf>
    <xf numFmtId="0" fontId="12" fillId="2" borderId="12" xfId="3" applyFont="1" applyFill="1" applyBorder="1" applyAlignment="1">
      <alignment vertical="center"/>
    </xf>
    <xf numFmtId="0" fontId="12" fillId="2" borderId="14" xfId="3" applyFont="1" applyFill="1" applyBorder="1" applyAlignment="1">
      <alignment vertical="center"/>
    </xf>
    <xf numFmtId="0" fontId="18" fillId="0" borderId="8" xfId="0" quotePrefix="1" applyFont="1" applyBorder="1" applyAlignment="1">
      <alignment vertical="center" wrapText="1"/>
    </xf>
    <xf numFmtId="0" fontId="18" fillId="0" borderId="5" xfId="0" quotePrefix="1" applyFont="1" applyBorder="1" applyAlignment="1">
      <alignment vertical="center" wrapText="1"/>
    </xf>
    <xf numFmtId="0" fontId="0" fillId="0" borderId="5" xfId="0" applyBorder="1" applyAlignment="1">
      <alignment vertical="center" wrapText="1"/>
    </xf>
    <xf numFmtId="0" fontId="0" fillId="0" borderId="11" xfId="0" applyBorder="1" applyAlignment="1">
      <alignment vertical="center" wrapText="1"/>
    </xf>
    <xf numFmtId="0" fontId="4" fillId="0" borderId="8"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33" xfId="0" applyFont="1" applyBorder="1" applyAlignment="1">
      <alignment horizontal="center" vertical="center" wrapText="1"/>
    </xf>
    <xf numFmtId="0" fontId="18" fillId="0" borderId="13" xfId="0" quotePrefix="1" applyFont="1" applyBorder="1" applyAlignment="1">
      <alignment vertical="center" wrapText="1"/>
    </xf>
    <xf numFmtId="0" fontId="18" fillId="0" borderId="33" xfId="0" quotePrefix="1" applyFont="1" applyBorder="1" applyAlignment="1">
      <alignment horizontal="center" vertical="center" wrapText="1"/>
    </xf>
    <xf numFmtId="0" fontId="18" fillId="0" borderId="11" xfId="0" quotePrefix="1" applyFont="1" applyBorder="1" applyAlignment="1">
      <alignment vertical="center" wrapText="1"/>
    </xf>
    <xf numFmtId="0" fontId="18" fillId="0" borderId="8" xfId="0" applyFont="1" applyBorder="1" applyAlignment="1">
      <alignment vertical="center" wrapText="1"/>
    </xf>
    <xf numFmtId="0" fontId="18" fillId="0" borderId="13" xfId="0" applyFont="1" applyBorder="1" applyAlignment="1">
      <alignment vertical="center" wrapText="1"/>
    </xf>
    <xf numFmtId="0" fontId="12" fillId="2" borderId="12" xfId="3" applyFont="1" applyFill="1" applyBorder="1" applyAlignment="1">
      <alignment vertical="center" wrapText="1"/>
    </xf>
    <xf numFmtId="0" fontId="18" fillId="0" borderId="14" xfId="0" applyFont="1" applyBorder="1" applyAlignment="1">
      <alignment wrapText="1"/>
    </xf>
    <xf numFmtId="0" fontId="18" fillId="0" borderId="5" xfId="0" applyFont="1" applyBorder="1" applyAlignment="1">
      <alignment wrapText="1"/>
    </xf>
    <xf numFmtId="0" fontId="18" fillId="0" borderId="11" xfId="0" applyFont="1" applyBorder="1" applyAlignment="1">
      <alignment wrapText="1"/>
    </xf>
    <xf numFmtId="0" fontId="18" fillId="0" borderId="5" xfId="0" applyFont="1" applyBorder="1" applyAlignment="1">
      <alignment vertical="center" wrapText="1"/>
    </xf>
    <xf numFmtId="0" fontId="18" fillId="0" borderId="11" xfId="0" applyFont="1" applyBorder="1" applyAlignment="1">
      <alignment vertical="center" wrapText="1"/>
    </xf>
    <xf numFmtId="166" fontId="0" fillId="21" borderId="0" xfId="0" applyNumberFormat="1" applyFill="1" applyAlignment="1">
      <alignment horizontal="center" vertical="center"/>
    </xf>
    <xf numFmtId="0" fontId="45" fillId="0" borderId="0" xfId="0" applyFont="1" applyAlignment="1">
      <alignment horizontal="center" vertical="center"/>
    </xf>
    <xf numFmtId="0" fontId="46" fillId="0" borderId="0" xfId="0" applyFont="1" applyFill="1" applyAlignment="1">
      <alignment horizontal="center" vertical="center" textRotation="90"/>
    </xf>
    <xf numFmtId="0" fontId="46" fillId="0" borderId="6" xfId="0" applyFont="1" applyFill="1" applyBorder="1" applyAlignment="1">
      <alignment horizontal="center" vertical="center" textRotation="90"/>
    </xf>
    <xf numFmtId="0" fontId="47" fillId="14" borderId="3" xfId="2" applyFont="1" applyFill="1" applyBorder="1" applyAlignment="1">
      <alignment horizontal="left" vertical="center" wrapText="1"/>
    </xf>
    <xf numFmtId="0" fontId="47" fillId="14" borderId="0" xfId="2" applyFont="1" applyFill="1" applyBorder="1" applyAlignment="1">
      <alignment horizontal="left" vertical="center" wrapText="1"/>
    </xf>
    <xf numFmtId="0" fontId="48" fillId="14" borderId="2" xfId="0" applyFont="1" applyFill="1" applyBorder="1" applyAlignment="1">
      <alignment vertical="center"/>
    </xf>
  </cellXfs>
  <cellStyles count="8">
    <cellStyle name="% 2" xfId="5" xr:uid="{FDA5B7BA-44B0-470D-AD1A-EAC352803EBA}"/>
    <cellStyle name="Heading 1" xfId="1" builtinId="16"/>
    <cellStyle name="Hyperlink" xfId="6" builtinId="8"/>
    <cellStyle name="Hyperlink 2" xfId="4" xr:uid="{BCDF27FF-64D2-47D0-841B-B8585D46FAFA}"/>
    <cellStyle name="Normal" xfId="0" builtinId="0"/>
    <cellStyle name="Normal 2" xfId="2" xr:uid="{4B63B38A-3E55-482E-B2C3-EB25CAF41629}"/>
    <cellStyle name="Percent" xfId="7" builtinId="5"/>
    <cellStyle name="Title 2" xfId="3" xr:uid="{90969FF0-57EA-47EC-A937-E19DA0FE550E}"/>
  </cellStyles>
  <dxfs count="211">
    <dxf>
      <font>
        <b/>
        <i val="0"/>
        <strike val="0"/>
        <condense val="0"/>
        <extend val="0"/>
        <outline val="0"/>
        <shadow val="0"/>
        <u val="none"/>
        <vertAlign val="baseline"/>
        <sz val="10"/>
        <color rgb="FF0070C0"/>
        <name val="Segoe UI"/>
        <family val="2"/>
        <scheme val="none"/>
      </font>
      <fill>
        <patternFill patternType="solid">
          <fgColor indexed="64"/>
          <bgColor rgb="FFF3FAFF"/>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egoe UI"/>
        <family val="2"/>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Segoe UI"/>
        <family val="2"/>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textRotation="0" wrapText="1" indent="0" justifyLastLine="0" shrinkToFit="0" readingOrder="0"/>
    </dxf>
    <dxf>
      <alignment horizontal="general"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egoe UI"/>
        <family val="2"/>
        <scheme val="none"/>
      </font>
      <alignment horizontal="general"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Segoe UI"/>
        <family val="2"/>
        <scheme val="none"/>
      </font>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bgColor rgb="FF00B050"/>
        </patternFill>
      </fill>
    </dxf>
    <dxf>
      <fill>
        <patternFill>
          <bgColor rgb="FFFFC000"/>
        </patternFill>
      </fill>
    </dxf>
    <dxf>
      <fill>
        <patternFill>
          <bgColor rgb="FFC00000"/>
        </patternFill>
      </fill>
    </dxf>
    <dxf>
      <fill>
        <patternFill>
          <bgColor rgb="FF00B050"/>
        </patternFill>
      </fill>
    </dxf>
    <dxf>
      <fill>
        <patternFill>
          <bgColor rgb="FF00B050"/>
        </patternFill>
      </fill>
    </dxf>
    <dxf>
      <fill>
        <patternFill>
          <bgColor rgb="FFFFC000"/>
        </patternFill>
      </fill>
    </dxf>
    <dxf>
      <fill>
        <patternFill>
          <bgColor rgb="FFC00000"/>
        </patternFill>
      </fill>
    </dxf>
    <dxf>
      <fill>
        <patternFill>
          <bgColor rgb="FF00B050"/>
        </patternFill>
      </fill>
    </dxf>
    <dxf>
      <fill>
        <patternFill>
          <bgColor rgb="FFFFC000"/>
        </patternFill>
      </fill>
    </dxf>
    <dxf>
      <fill>
        <patternFill>
          <bgColor rgb="FFC00000"/>
        </patternFill>
      </fill>
    </dxf>
    <dxf>
      <fill>
        <patternFill patternType="solid">
          <fgColor auto="1"/>
          <bgColor theme="4" tint="-0.499984740745262"/>
        </patternFill>
      </fill>
      <border>
        <top/>
        <bottom style="thin">
          <color theme="0"/>
        </bottom>
      </border>
    </dxf>
    <dxf>
      <font>
        <b/>
        <i val="0"/>
        <strike val="0"/>
        <condense val="0"/>
        <extend val="0"/>
        <outline val="0"/>
        <shadow val="0"/>
        <u val="none"/>
        <vertAlign val="baseline"/>
        <sz val="10"/>
        <color rgb="FF0070C0"/>
        <name val="Segoe UI"/>
        <family val="2"/>
        <scheme val="none"/>
      </font>
      <fill>
        <patternFill patternType="solid">
          <fgColor indexed="64"/>
          <bgColor rgb="FFF3FAFF"/>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egoe UI"/>
        <family val="2"/>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Segoe U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Segoe UI"/>
        <family val="2"/>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wrapText="1"/>
    </dxf>
    <dxf>
      <alignment wrapText="1"/>
    </dxf>
    <dxf>
      <alignment vertical="top"/>
    </dxf>
    <dxf>
      <alignment vertical="top"/>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alignment horizontal="right"/>
    </dxf>
    <dxf>
      <alignment horizontal="center"/>
    </dxf>
    <dxf>
      <alignment horizontal="center"/>
    </dxf>
    <dxf>
      <alignment vertical="center"/>
    </dxf>
    <dxf>
      <alignment vertic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center"/>
    </dxf>
    <dxf>
      <alignment horizontal="center"/>
    </dxf>
    <dxf>
      <alignment vertical="center"/>
    </dxf>
    <dxf>
      <alignment vertic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4" formatCode="0.00%"/>
    </dxf>
    <dxf>
      <alignment vertical="top"/>
    </dxf>
    <dxf>
      <alignment vertical="top"/>
    </dxf>
    <dxf>
      <alignment vertical="top"/>
    </dxf>
    <dxf>
      <alignment vertical="top"/>
    </dxf>
    <dxf>
      <alignment vertical="top"/>
    </dxf>
    <dxf>
      <alignment horizontal="center"/>
    </dxf>
    <dxf>
      <alignment horizontal="center"/>
    </dxf>
    <dxf>
      <alignment horizontal="center"/>
    </dxf>
    <dxf>
      <alignment vertical="center"/>
    </dxf>
    <dxf>
      <alignment vertical="center"/>
    </dxf>
    <dxf>
      <alignment vertic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0" formatCode="General"/>
    </dxf>
    <dxf>
      <numFmt numFmtId="0" formatCode="General"/>
    </dxf>
    <dxf>
      <numFmt numFmtId="0" formatCode="General"/>
    </dxf>
    <dxf>
      <numFmt numFmtId="164" formatCode="[$-409]d\-mmm\-yy;@"/>
    </dxf>
    <dxf>
      <numFmt numFmtId="165" formatCode="[$-409]dd\-mmm\-yy;@"/>
    </dxf>
    <dxf>
      <font>
        <b/>
        <i val="0"/>
        <strike val="0"/>
        <condense val="0"/>
        <extend val="0"/>
        <outline val="0"/>
        <shadow val="0"/>
        <u val="none"/>
        <vertAlign val="baseline"/>
        <sz val="10"/>
        <color auto="1"/>
        <name val="Segoe UI"/>
        <family val="2"/>
        <scheme val="none"/>
      </font>
      <fill>
        <patternFill patternType="solid">
          <fgColor indexed="64"/>
          <bgColor theme="2" tint="-9.9978637043366805E-2"/>
        </patternFill>
      </fill>
      <alignment horizontal="general" vertical="center" textRotation="0" wrapText="1" indent="0" justifyLastLine="0" shrinkToFit="0" readingOrder="0"/>
      <protection locked="1" hidden="0"/>
    </dxf>
    <dxf>
      <numFmt numFmtId="0" formatCode="General"/>
      <alignment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vertical="top" textRotation="0" wrapText="1" indent="0" justifyLastLine="0" shrinkToFit="0" readingOrder="0"/>
    </dxf>
    <dxf>
      <numFmt numFmtId="0" formatCode="General"/>
      <alignment vertical="top" textRotation="0" wrapText="1" indent="0" justifyLastLine="0" shrinkToFit="0" readingOrder="0"/>
    </dxf>
    <dxf>
      <numFmt numFmtId="167" formatCode="[$-409]d\-mmm\-yyyy;@"/>
      <alignment horizontal="general" vertical="top" textRotation="0" wrapText="1" indent="0" justifyLastLine="0" shrinkToFit="0" readingOrder="0"/>
    </dxf>
    <dxf>
      <numFmt numFmtId="167" formatCode="[$-409]d\-mmm\-yyyy;@"/>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vertical="top" textRotation="0" wrapText="1" indent="0" justifyLastLine="0" shrinkToFit="0" readingOrder="0"/>
    </dxf>
    <dxf>
      <alignment vertical="top" textRotation="0" wrapText="0" indent="0" justifyLastLine="0" shrinkToFit="0" readingOrder="0"/>
    </dxf>
    <dxf>
      <numFmt numFmtId="0" formatCode="General"/>
      <alignment vertical="top" textRotation="0" wrapText="1" indent="0" justifyLastLine="0" shrinkToFit="0" readingOrder="0"/>
    </dxf>
    <dxf>
      <alignment horizontal="general" vertical="top" textRotation="0" wrapText="0" indent="0" justifyLastLine="0" shrinkToFit="0" readingOrder="0"/>
    </dxf>
    <dxf>
      <numFmt numFmtId="167" formatCode="[$-409]d\-mmm\-yyyy;@"/>
      <alignment vertical="top" textRotation="0" wrapText="0" indent="0" justifyLastLine="0" shrinkToFit="0" readingOrder="0"/>
    </dxf>
    <dxf>
      <numFmt numFmtId="0" formatCode="General"/>
      <alignment vertical="top" textRotation="0" wrapText="0" indent="0" justifyLastLine="0" shrinkToFit="0" readingOrder="0"/>
    </dxf>
    <dxf>
      <alignment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alignment vertical="top" textRotation="0" wrapText="0" indent="0" justifyLastLine="0" shrinkToFit="0" readingOrder="0"/>
    </dxf>
    <dxf>
      <numFmt numFmtId="0" formatCode="General"/>
      <alignment horizontal="center"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alignment vertical="top" textRotation="0" wrapText="0" indent="0" justifyLastLine="0" shrinkToFit="0" readingOrder="0"/>
    </dxf>
    <dxf>
      <numFmt numFmtId="0" formatCode="General"/>
      <alignment horizontal="center"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horizontal="general"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font>
        <b/>
        <i val="0"/>
        <strike val="0"/>
        <condense val="0"/>
        <extend val="0"/>
        <outline val="0"/>
        <shadow val="0"/>
        <u val="none"/>
        <vertAlign val="baseline"/>
        <sz val="10"/>
        <color rgb="FF0070C0"/>
        <name val="Segoe UI"/>
        <family val="2"/>
        <scheme val="none"/>
      </font>
      <fill>
        <patternFill patternType="solid">
          <fgColor indexed="64"/>
          <bgColor rgb="FFF3FAFF"/>
        </patternFill>
      </fill>
      <alignment horizontal="general" vertical="center" textRotation="0" wrapText="1" indent="0" justifyLastLine="0" shrinkToFit="0" readingOrder="0"/>
      <protection locked="1" hidden="0"/>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alignment horizontal="right"/>
    </dxf>
    <dxf>
      <alignment horizontal="right"/>
    </dxf>
    <dxf>
      <numFmt numFmtId="165" formatCode="[$-409]dd\-mmm\-yy;@"/>
    </dxf>
    <dxf>
      <numFmt numFmtId="164" formatCode="[$-409]d\-mmm\-yy;@"/>
    </dxf>
    <dxf>
      <font>
        <b/>
        <color theme="1"/>
      </font>
      <border>
        <bottom style="thin">
          <color theme="4"/>
        </bottom>
        <vertical/>
        <horizontal/>
      </border>
    </dxf>
    <dxf>
      <font>
        <sz val="11"/>
        <color theme="1"/>
        <name val="Segoe UI"/>
        <family val="2"/>
        <scheme val="none"/>
      </font>
      <border diagonalUp="0" diagonalDown="0">
        <left/>
        <right/>
        <top/>
        <bottom/>
        <vertical/>
        <horizontal/>
      </border>
    </dxf>
    <dxf>
      <fill>
        <patternFill>
          <bgColor theme="0"/>
        </patternFill>
      </fill>
    </dxf>
    <dxf>
      <fill>
        <patternFill>
          <bgColor rgb="FFEFF6FE"/>
        </patternFill>
      </fill>
    </dxf>
    <dxf>
      <font>
        <b/>
        <i val="0"/>
      </font>
      <fill>
        <patternFill>
          <bgColor theme="4" tint="0.79998168889431442"/>
        </patternFill>
      </fill>
      <border>
        <left style="double">
          <color auto="1"/>
        </left>
        <right style="double">
          <color auto="1"/>
        </right>
        <top style="double">
          <color auto="1"/>
        </top>
        <bottom style="double">
          <color auto="1"/>
        </bottom>
      </border>
    </dxf>
    <dxf>
      <font>
        <b/>
        <i val="0"/>
      </font>
      <fill>
        <patternFill>
          <bgColor theme="4" tint="0.79998168889431442"/>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Custom Blue" pivot="0" count="5" xr9:uid="{3E7C2CE2-D3B8-46DC-821E-7938FE0D5890}">
      <tableStyleElement type="wholeTable" dxfId="210"/>
      <tableStyleElement type="headerRow" dxfId="209"/>
      <tableStyleElement type="totalRow" dxfId="208"/>
      <tableStyleElement type="firstRowStripe" dxfId="207"/>
      <tableStyleElement type="secondRowStripe" dxfId="206"/>
    </tableStyle>
    <tableStyle name="Custom slicer" pivot="0" table="0" count="10" xr9:uid="{07302A2B-CDBB-4F82-9327-9AF5F0D9D528}">
      <tableStyleElement type="wholeTable" dxfId="205"/>
      <tableStyleElement type="headerRow" dxfId="204"/>
    </tableStyle>
  </tableStyles>
  <colors>
    <mruColors>
      <color rgb="FF800000"/>
      <color rgb="FF252B42"/>
      <color rgb="FF9BC2E6"/>
      <color rgb="FFF5F6FD"/>
      <color rgb="FFFFDCD1"/>
      <color rgb="FFA29BFE"/>
      <color rgb="FFFF5E8D"/>
      <color rgb="FFF5F5FC"/>
      <color rgb="FFE8F1FB"/>
      <color rgb="FFFF467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ustomXml" Target="../customXml/item1.xml"/><Relationship Id="rId25"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8.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7.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[Risk-Register-Template-for-Information-Security-v1.0.xlsx]RiskPivots!PivotTable5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0E86D4"/>
              </a:gs>
              <a:gs pos="100000">
                <a:srgbClr val="68BBE3"/>
              </a:gs>
            </a:gsLst>
            <a:lin ang="5400000" scaled="1"/>
          </a:gradFill>
          <a:ln w="19050">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055C9D"/>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29BFE"/>
          </a:solidFill>
          <a:ln w="12700">
            <a:solidFill>
              <a:srgbClr val="252B42"/>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1600" b="1" i="0" u="none" strike="noStrike" kern="1200" baseline="0">
                  <a:solidFill>
                    <a:schemeClr val="accent2">
                      <a:lumMod val="7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800000"/>
          </a:solidFill>
          <a:ln w="12700">
            <a:solidFill>
              <a:srgbClr val="252B42"/>
            </a:solidFill>
          </a:ln>
          <a:effectLst/>
        </c:spPr>
        <c:dLbl>
          <c:idx val="0"/>
          <c:layout>
            <c:manualLayout>
              <c:x val="0.11560927218778835"/>
              <c:y val="-5.7502255944805104E-2"/>
            </c:manualLayout>
          </c:layout>
          <c:spPr>
            <a:noFill/>
            <a:ln>
              <a:noFill/>
            </a:ln>
            <a:effectLst/>
          </c:spPr>
          <c:txPr>
            <a:bodyPr rot="0" spcFirstLastPara="1" vertOverflow="ellipsis" vert="horz" wrap="square" lIns="38100" tIns="19050" rIns="38100" bIns="19050" anchor="t" anchorCtr="0">
              <a:spAutoFit/>
            </a:bodyPr>
            <a:lstStyle/>
            <a:p>
              <a:pPr>
                <a:defRPr sz="1100" b="1" i="0" u="none" strike="noStrike" kern="1200" baseline="0">
                  <a:solidFill>
                    <a:srgbClr val="00B0F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2700">
            <a:solidFill>
              <a:srgbClr val="252B42"/>
            </a:solidFill>
          </a:ln>
          <a:effectLst/>
        </c:spPr>
        <c:dLbl>
          <c:idx val="0"/>
          <c:layout>
            <c:manualLayout>
              <c:x val="9.869084211152665E-2"/>
              <c:y val="0.11212939909236991"/>
            </c:manualLayout>
          </c:layout>
          <c:spPr>
            <a:noFill/>
            <a:ln>
              <a:noFill/>
            </a:ln>
            <a:effectLst/>
          </c:spPr>
          <c:txPr>
            <a:bodyPr rot="0" spcFirstLastPara="1" vertOverflow="ellipsis" vert="horz" wrap="square" lIns="38100" tIns="19050" rIns="38100" bIns="19050" anchor="t" anchorCtr="0">
              <a:spAutoFit/>
            </a:bodyPr>
            <a:lstStyle/>
            <a:p>
              <a:pPr algn="ctr" rtl="0">
                <a:defRPr lang="en-US" sz="1100" b="1" i="0" u="none" strike="noStrike" kern="1200" baseline="0">
                  <a:solidFill>
                    <a:srgbClr val="00B0F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rgbClr val="FFDCD1"/>
          </a:solidFill>
          <a:ln w="12700">
            <a:solidFill>
              <a:srgbClr val="252B42"/>
            </a:solidFill>
          </a:ln>
          <a:effectLst/>
        </c:spPr>
        <c:dLbl>
          <c:idx val="0"/>
          <c:layout>
            <c:manualLayout>
              <c:x val="-0.13111783309102826"/>
              <c:y val="8.6253383917207618E-2"/>
            </c:manualLayout>
          </c:layout>
          <c:spPr>
            <a:noFill/>
            <a:ln>
              <a:noFill/>
            </a:ln>
            <a:effectLst/>
          </c:spPr>
          <c:txPr>
            <a:bodyPr rot="0" spcFirstLastPara="1" vertOverflow="ellipsis" vert="horz" wrap="square" lIns="38100" tIns="19050" rIns="38100" bIns="19050" anchor="t" anchorCtr="0">
              <a:spAutoFit/>
            </a:bodyPr>
            <a:lstStyle/>
            <a:p>
              <a:pPr algn="ctr" rtl="0">
                <a:defRPr lang="en-US" sz="1100" b="1" i="0" u="none" strike="noStrike" kern="1200" baseline="0">
                  <a:solidFill>
                    <a:srgbClr val="00B0F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757659697102377"/>
          <c:y val="0.1050258330016766"/>
          <c:w val="0.45105767595910179"/>
          <c:h val="0.81978928818998753"/>
        </c:manualLayout>
      </c:layout>
      <c:doughnutChart>
        <c:varyColors val="1"/>
        <c:ser>
          <c:idx val="0"/>
          <c:order val="0"/>
          <c:tx>
            <c:strRef>
              <c:f>RiskPivots!$C$48</c:f>
              <c:strCache>
                <c:ptCount val="1"/>
                <c:pt idx="0">
                  <c:v>Total</c:v>
                </c:pt>
              </c:strCache>
            </c:strRef>
          </c:tx>
          <c:spPr>
            <a:solidFill>
              <a:srgbClr val="A29BFE"/>
            </a:solidFill>
            <a:ln w="12700">
              <a:solidFill>
                <a:srgbClr val="252B42"/>
              </a:solidFill>
            </a:ln>
          </c:spPr>
          <c:explosion val="1"/>
          <c:dPt>
            <c:idx val="0"/>
            <c:bubble3D val="0"/>
            <c:spPr>
              <a:solidFill>
                <a:srgbClr val="800000"/>
              </a:solidFill>
              <a:ln w="12700">
                <a:solidFill>
                  <a:srgbClr val="252B42"/>
                </a:solidFill>
              </a:ln>
              <a:effectLst/>
            </c:spPr>
            <c:extLst>
              <c:ext xmlns:c16="http://schemas.microsoft.com/office/drawing/2014/chart" uri="{C3380CC4-5D6E-409C-BE32-E72D297353CC}">
                <c16:uniqueId val="{00000000-2677-4890-A92F-15BB0A2DBBF1}"/>
              </c:ext>
            </c:extLst>
          </c:dPt>
          <c:dPt>
            <c:idx val="1"/>
            <c:bubble3D val="0"/>
            <c:spPr>
              <a:solidFill>
                <a:schemeClr val="accent6">
                  <a:lumMod val="75000"/>
                </a:schemeClr>
              </a:solidFill>
              <a:ln w="12700">
                <a:solidFill>
                  <a:srgbClr val="252B42"/>
                </a:solidFill>
              </a:ln>
              <a:effectLst/>
            </c:spPr>
            <c:extLst>
              <c:ext xmlns:c16="http://schemas.microsoft.com/office/drawing/2014/chart" uri="{C3380CC4-5D6E-409C-BE32-E72D297353CC}">
                <c16:uniqueId val="{00000001-2677-4890-A92F-15BB0A2DBBF1}"/>
              </c:ext>
            </c:extLst>
          </c:dPt>
          <c:dPt>
            <c:idx val="2"/>
            <c:bubble3D val="0"/>
            <c:spPr>
              <a:solidFill>
                <a:srgbClr val="FFDCD1"/>
              </a:solidFill>
              <a:ln w="12700">
                <a:solidFill>
                  <a:srgbClr val="252B42"/>
                </a:solidFill>
              </a:ln>
              <a:effectLst/>
            </c:spPr>
            <c:extLst>
              <c:ext xmlns:c16="http://schemas.microsoft.com/office/drawing/2014/chart" uri="{C3380CC4-5D6E-409C-BE32-E72D297353CC}">
                <c16:uniqueId val="{00000002-2677-4890-A92F-15BB0A2DBBF1}"/>
              </c:ext>
            </c:extLst>
          </c:dPt>
          <c:dLbls>
            <c:dLbl>
              <c:idx val="0"/>
              <c:layout>
                <c:manualLayout>
                  <c:x val="0.11560927218778835"/>
                  <c:y val="-5.7502255944805104E-2"/>
                </c:manualLayout>
              </c:layout>
              <c:spPr>
                <a:noFill/>
                <a:ln>
                  <a:noFill/>
                </a:ln>
                <a:effectLst/>
              </c:spPr>
              <c:txPr>
                <a:bodyPr rot="0" spcFirstLastPara="1" vertOverflow="ellipsis" vert="horz" wrap="square" lIns="38100" tIns="19050" rIns="38100" bIns="19050" anchor="t" anchorCtr="0">
                  <a:spAutoFit/>
                </a:bodyPr>
                <a:lstStyle/>
                <a:p>
                  <a:pPr>
                    <a:defRPr sz="1100" b="1" i="0" u="none" strike="noStrike" kern="1200" baseline="0">
                      <a:solidFill>
                        <a:srgbClr val="00B0F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677-4890-A92F-15BB0A2DBBF1}"/>
                </c:ext>
              </c:extLst>
            </c:dLbl>
            <c:dLbl>
              <c:idx val="1"/>
              <c:layout>
                <c:manualLayout>
                  <c:x val="9.869084211152665E-2"/>
                  <c:y val="0.11212939909236991"/>
                </c:manualLayout>
              </c:layout>
              <c:spPr>
                <a:noFill/>
                <a:ln>
                  <a:noFill/>
                </a:ln>
                <a:effectLst/>
              </c:spPr>
              <c:txPr>
                <a:bodyPr rot="0" spcFirstLastPara="1" vertOverflow="ellipsis" vert="horz" wrap="square" lIns="38100" tIns="19050" rIns="38100" bIns="19050" anchor="t" anchorCtr="0">
                  <a:spAutoFit/>
                </a:bodyPr>
                <a:lstStyle/>
                <a:p>
                  <a:pPr algn="ctr" rtl="0">
                    <a:defRPr lang="en-US" sz="1100" b="1" i="0" u="none" strike="noStrike" kern="1200" baseline="0">
                      <a:solidFill>
                        <a:srgbClr val="00B0F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677-4890-A92F-15BB0A2DBBF1}"/>
                </c:ext>
              </c:extLst>
            </c:dLbl>
            <c:dLbl>
              <c:idx val="2"/>
              <c:layout>
                <c:manualLayout>
                  <c:x val="-0.13111783309102826"/>
                  <c:y val="8.6253383917207618E-2"/>
                </c:manualLayout>
              </c:layout>
              <c:spPr>
                <a:noFill/>
                <a:ln>
                  <a:noFill/>
                </a:ln>
                <a:effectLst/>
              </c:spPr>
              <c:txPr>
                <a:bodyPr rot="0" spcFirstLastPara="1" vertOverflow="ellipsis" vert="horz" wrap="square" lIns="38100" tIns="19050" rIns="38100" bIns="19050" anchor="t" anchorCtr="0">
                  <a:spAutoFit/>
                </a:bodyPr>
                <a:lstStyle/>
                <a:p>
                  <a:pPr algn="ctr" rtl="0">
                    <a:defRPr lang="en-US" sz="1100" b="1" i="0" u="none" strike="noStrike" kern="1200" baseline="0">
                      <a:solidFill>
                        <a:srgbClr val="00B0F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677-4890-A92F-15BB0A2DBBF1}"/>
                </c:ext>
              </c:extLst>
            </c:dLbl>
            <c:spPr>
              <a:noFill/>
              <a:ln>
                <a:noFill/>
              </a:ln>
              <a:effectLst/>
            </c:spPr>
            <c:txPr>
              <a:bodyPr rot="0" spcFirstLastPara="1" vertOverflow="ellipsis" vert="horz" wrap="square" lIns="38100" tIns="19050" rIns="38100" bIns="19050" anchor="t" anchorCtr="0">
                <a:spAutoFit/>
              </a:bodyPr>
              <a:lstStyle/>
              <a:p>
                <a:pPr>
                  <a:defRPr sz="1600" b="1" i="0" u="none" strike="noStrike" kern="1200" baseline="0">
                    <a:solidFill>
                      <a:schemeClr val="accent2">
                        <a:lumMod val="7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RiskPivots!$B$49:$B$52</c:f>
              <c:strCache>
                <c:ptCount val="3"/>
                <c:pt idx="0">
                  <c:v>High</c:v>
                </c:pt>
                <c:pt idx="1">
                  <c:v>Low</c:v>
                </c:pt>
                <c:pt idx="2">
                  <c:v>Medium</c:v>
                </c:pt>
              </c:strCache>
            </c:strRef>
          </c:cat>
          <c:val>
            <c:numRef>
              <c:f>RiskPivots!$C$49:$C$52</c:f>
              <c:numCache>
                <c:formatCode>General</c:formatCode>
                <c:ptCount val="3"/>
                <c:pt idx="0">
                  <c:v>5</c:v>
                </c:pt>
                <c:pt idx="1">
                  <c:v>3</c:v>
                </c:pt>
                <c:pt idx="2">
                  <c:v>12</c:v>
                </c:pt>
              </c:numCache>
            </c:numRef>
          </c:val>
          <c:extLst>
            <c:ext xmlns:c16="http://schemas.microsoft.com/office/drawing/2014/chart" uri="{C3380CC4-5D6E-409C-BE32-E72D297353CC}">
              <c16:uniqueId val="{00000000-6DA2-4A63-9DC1-226406D58D05}"/>
            </c:ext>
          </c:extLst>
        </c:ser>
        <c:dLbls>
          <c:showLegendKey val="0"/>
          <c:showVal val="0"/>
          <c:showCatName val="0"/>
          <c:showSerName val="0"/>
          <c:showPercent val="0"/>
          <c:showBubbleSize val="0"/>
          <c:showLeaderLines val="1"/>
        </c:dLbls>
        <c:firstSliceAng val="11"/>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rgbClr val="00306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3060"/>
          </a:solidFill>
          <a:ln>
            <a:solidFill>
              <a:schemeClr val="bg1"/>
            </a:solidFill>
          </a:ln>
          <a:effectLst/>
        </c:spPr>
      </c:pivotFmt>
      <c:pivotFmt>
        <c:idx val="7"/>
        <c:spPr>
          <a:solidFill>
            <a:srgbClr val="0E86D4"/>
          </a:solidFill>
          <a:ln>
            <a:noFill/>
          </a:ln>
          <a:effectLst/>
        </c:spPr>
      </c:pivotFmt>
      <c:pivotFmt>
        <c:idx val="8"/>
        <c:spPr>
          <a:solidFill>
            <a:srgbClr val="68BBE3"/>
          </a:solidFill>
          <a:ln>
            <a:noFill/>
          </a:ln>
          <a:effectLst/>
        </c:spPr>
      </c:pivotFmt>
    </c:pivotFmts>
    <c:plotArea>
      <c:layout>
        <c:manualLayout>
          <c:layoutTarget val="inner"/>
          <c:xMode val="edge"/>
          <c:yMode val="edge"/>
          <c:x val="0.17976905032231796"/>
          <c:y val="5.8333361170776032E-2"/>
          <c:w val="0.66343008426346983"/>
          <c:h val="0.82426222425621132"/>
        </c:manualLayout>
      </c:layout>
      <c:doughnutChart>
        <c:varyColors val="1"/>
        <c:dLbls>
          <c:showLegendKey val="0"/>
          <c:showVal val="0"/>
          <c:showCatName val="0"/>
          <c:showSerName val="0"/>
          <c:showPercent val="0"/>
          <c:showBubbleSize val="0"/>
          <c:showLeaderLines val="0"/>
        </c:dLbls>
        <c:firstSliceAng val="0"/>
        <c:holeSize val="74"/>
      </c:doughnutChart>
      <c:spPr>
        <a:noFill/>
        <a:ln>
          <a:noFill/>
        </a:ln>
        <a:effectLst/>
      </c:spPr>
    </c:plotArea>
    <c:legend>
      <c:legendPos val="b"/>
      <c:layout>
        <c:manualLayout>
          <c:xMode val="edge"/>
          <c:yMode val="edge"/>
          <c:x val="4.2747806555208483E-2"/>
          <c:y val="0.82958223888567972"/>
          <c:w val="0.95725219344479151"/>
          <c:h val="0.1466889422770012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[Risk-Register-Template-for-Information-Security-v1.0.xlsx]RiskPivots!PivotTable13</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RiskPivots!$C$189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RiskPivots!$B$190:$B$198</c:f>
              <c:strCache>
                <c:ptCount val="8"/>
                <c:pt idx="0">
                  <c:v>Ransomware</c:v>
                </c:pt>
                <c:pt idx="1">
                  <c:v>Non-compliance</c:v>
                </c:pt>
                <c:pt idx="2">
                  <c:v>Identity and Access</c:v>
                </c:pt>
                <c:pt idx="3">
                  <c:v>Social Engineering</c:v>
                </c:pt>
                <c:pt idx="4">
                  <c:v>Data breach</c:v>
                </c:pt>
                <c:pt idx="5">
                  <c:v>Supply Chain </c:v>
                </c:pt>
                <c:pt idx="6">
                  <c:v>Insider Threats</c:v>
                </c:pt>
                <c:pt idx="7">
                  <c:v>System Vulnerabilities</c:v>
                </c:pt>
              </c:strCache>
            </c:strRef>
          </c:cat>
          <c:val>
            <c:numRef>
              <c:f>RiskPivots!$C$190:$C$198</c:f>
              <c:numCache>
                <c:formatCode>General</c:formatCode>
                <c:ptCount val="8"/>
                <c:pt idx="0">
                  <c:v>1</c:v>
                </c:pt>
                <c:pt idx="1">
                  <c:v>2</c:v>
                </c:pt>
                <c:pt idx="2">
                  <c:v>2</c:v>
                </c:pt>
                <c:pt idx="3">
                  <c:v>2</c:v>
                </c:pt>
                <c:pt idx="4">
                  <c:v>2</c:v>
                </c:pt>
                <c:pt idx="5">
                  <c:v>2</c:v>
                </c:pt>
                <c:pt idx="6">
                  <c:v>2</c:v>
                </c:pt>
                <c:pt idx="7">
                  <c:v>4</c:v>
                </c:pt>
              </c:numCache>
            </c:numRef>
          </c:val>
          <c:extLst>
            <c:ext xmlns:c16="http://schemas.microsoft.com/office/drawing/2014/chart" uri="{C3380CC4-5D6E-409C-BE32-E72D297353CC}">
              <c16:uniqueId val="{00000000-D04A-40CC-9333-D59F8F910A4E}"/>
            </c:ext>
          </c:extLst>
        </c:ser>
        <c:dLbls>
          <c:showLegendKey val="0"/>
          <c:showVal val="0"/>
          <c:showCatName val="0"/>
          <c:showSerName val="0"/>
          <c:showPercent val="0"/>
          <c:showBubbleSize val="0"/>
        </c:dLbls>
        <c:gapWidth val="219"/>
        <c:axId val="1043159680"/>
        <c:axId val="1043158720"/>
      </c:barChart>
      <c:catAx>
        <c:axId val="1043159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043158720"/>
        <c:crosses val="autoZero"/>
        <c:auto val="1"/>
        <c:lblAlgn val="ctr"/>
        <c:lblOffset val="100"/>
        <c:noMultiLvlLbl val="0"/>
      </c:catAx>
      <c:valAx>
        <c:axId val="1043158720"/>
        <c:scaling>
          <c:orientation val="minMax"/>
        </c:scaling>
        <c:delete val="1"/>
        <c:axPos val="b"/>
        <c:numFmt formatCode="General" sourceLinked="1"/>
        <c:majorTickMark val="none"/>
        <c:minorTickMark val="none"/>
        <c:tickLblPos val="nextTo"/>
        <c:crossAx val="104315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RiskPivots!$E$211:$E$222</c:f>
              <c:strCache>
                <c:ptCount val="12"/>
                <c:pt idx="0">
                  <c:v>Jan-2024</c:v>
                </c:pt>
                <c:pt idx="1">
                  <c:v>Feb-2024</c:v>
                </c:pt>
                <c:pt idx="2">
                  <c:v>Mar-2024</c:v>
                </c:pt>
                <c:pt idx="3">
                  <c:v>Apr-2024</c:v>
                </c:pt>
                <c:pt idx="4">
                  <c:v>May-2024</c:v>
                </c:pt>
                <c:pt idx="5">
                  <c:v>Jun-2024</c:v>
                </c:pt>
                <c:pt idx="6">
                  <c:v>Jul-2024</c:v>
                </c:pt>
                <c:pt idx="7">
                  <c:v>Aug-2024</c:v>
                </c:pt>
                <c:pt idx="8">
                  <c:v>Sep-2024</c:v>
                </c:pt>
                <c:pt idx="9">
                  <c:v>Oct-2024</c:v>
                </c:pt>
                <c:pt idx="10">
                  <c:v>Nov-2024</c:v>
                </c:pt>
                <c:pt idx="11">
                  <c:v>Dec-2024</c:v>
                </c:pt>
              </c:strCache>
            </c:strRef>
          </c:cat>
          <c:val>
            <c:numRef>
              <c:f>RiskPivots!$F$211:$F$222</c:f>
              <c:numCache>
                <c:formatCode>General</c:formatCode>
                <c:ptCount val="12"/>
                <c:pt idx="0">
                  <c:v>1</c:v>
                </c:pt>
                <c:pt idx="1">
                  <c:v>0</c:v>
                </c:pt>
                <c:pt idx="2">
                  <c:v>0</c:v>
                </c:pt>
                <c:pt idx="3">
                  <c:v>16</c:v>
                </c:pt>
                <c:pt idx="4">
                  <c:v>1</c:v>
                </c:pt>
                <c:pt idx="5">
                  <c:v>0</c:v>
                </c:pt>
                <c:pt idx="6">
                  <c:v>0</c:v>
                </c:pt>
                <c:pt idx="7">
                  <c:v>0</c:v>
                </c:pt>
                <c:pt idx="8">
                  <c:v>1</c:v>
                </c:pt>
                <c:pt idx="9">
                  <c:v>0</c:v>
                </c:pt>
                <c:pt idx="10">
                  <c:v>0</c:v>
                </c:pt>
                <c:pt idx="11">
                  <c:v>1</c:v>
                </c:pt>
              </c:numCache>
            </c:numRef>
          </c:val>
          <c:extLst>
            <c:ext xmlns:c16="http://schemas.microsoft.com/office/drawing/2014/chart" uri="{C3380CC4-5D6E-409C-BE32-E72D297353CC}">
              <c16:uniqueId val="{00000000-2FD5-4333-8174-94446BA23B59}"/>
            </c:ext>
          </c:extLst>
        </c:ser>
        <c:dLbls>
          <c:showLegendKey val="0"/>
          <c:showVal val="0"/>
          <c:showCatName val="0"/>
          <c:showSerName val="0"/>
          <c:showPercent val="0"/>
          <c:showBubbleSize val="0"/>
        </c:dLbls>
        <c:gapWidth val="150"/>
        <c:axId val="1200276624"/>
        <c:axId val="1200266544"/>
      </c:barChart>
      <c:catAx>
        <c:axId val="120027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Segoe UI" panose="020B0502040204020203" pitchFamily="34" charset="0"/>
                <a:ea typeface="Segoe UI Black" panose="020B0A02040204020203" pitchFamily="34" charset="0"/>
                <a:cs typeface="Segoe UI" panose="020B0502040204020203" pitchFamily="34" charset="0"/>
              </a:defRPr>
            </a:pPr>
            <a:endParaRPr lang="en-US"/>
          </a:p>
        </c:txPr>
        <c:crossAx val="1200266544"/>
        <c:crosses val="autoZero"/>
        <c:auto val="1"/>
        <c:lblAlgn val="ctr"/>
        <c:lblOffset val="100"/>
        <c:noMultiLvlLbl val="0"/>
      </c:catAx>
      <c:valAx>
        <c:axId val="1200266544"/>
        <c:scaling>
          <c:orientation val="minMax"/>
        </c:scaling>
        <c:delete val="1"/>
        <c:axPos val="l"/>
        <c:numFmt formatCode="General" sourceLinked="1"/>
        <c:majorTickMark val="none"/>
        <c:minorTickMark val="none"/>
        <c:tickLblPos val="nextTo"/>
        <c:crossAx val="12002766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6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A29BFE"/>
              </a:solidFill>
              <a:round/>
            </a:ln>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RiskPivots!$B$232:$B$243</c:f>
              <c:numCache>
                <c:formatCode>d\-mmm\-yy</c:formatCode>
                <c:ptCount val="1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numCache>
            </c:numRef>
          </c:cat>
          <c:val>
            <c:numRef>
              <c:f>RiskPivots!$C$232:$C$243</c:f>
              <c:numCache>
                <c:formatCode>0.0</c:formatCode>
                <c:ptCount val="12"/>
                <c:pt idx="0">
                  <c:v>11.3</c:v>
                </c:pt>
                <c:pt idx="1">
                  <c:v>10.5</c:v>
                </c:pt>
                <c:pt idx="2">
                  <c:v>9.65</c:v>
                </c:pt>
                <c:pt idx="3">
                  <c:v>9.65</c:v>
                </c:pt>
                <c:pt idx="4">
                  <c:v>9.5500000000000007</c:v>
                </c:pt>
                <c:pt idx="5">
                  <c:v>9</c:v>
                </c:pt>
                <c:pt idx="6">
                  <c:v>8.15</c:v>
                </c:pt>
                <c:pt idx="7">
                  <c:v>8.15</c:v>
                </c:pt>
                <c:pt idx="8">
                  <c:v>8.15</c:v>
                </c:pt>
                <c:pt idx="9">
                  <c:v>8.15</c:v>
                </c:pt>
                <c:pt idx="10">
                  <c:v>8.1999999999999993</c:v>
                </c:pt>
                <c:pt idx="11">
                  <c:v>7.9</c:v>
                </c:pt>
              </c:numCache>
            </c:numRef>
          </c:val>
          <c:smooth val="0"/>
          <c:extLst>
            <c:ext xmlns:c16="http://schemas.microsoft.com/office/drawing/2014/chart" uri="{C3380CC4-5D6E-409C-BE32-E72D297353CC}">
              <c16:uniqueId val="{00000000-7699-4BF7-AE76-A4A6DB2A26A7}"/>
            </c:ext>
          </c:extLst>
        </c:ser>
        <c:dLbls>
          <c:showLegendKey val="0"/>
          <c:showVal val="0"/>
          <c:showCatName val="0"/>
          <c:showSerName val="0"/>
          <c:showPercent val="0"/>
          <c:showBubbleSize val="0"/>
        </c:dLbls>
        <c:smooth val="0"/>
        <c:axId val="421097072"/>
        <c:axId val="421098032"/>
      </c:lineChart>
      <c:dateAx>
        <c:axId val="421097072"/>
        <c:scaling>
          <c:orientation val="minMax"/>
        </c:scaling>
        <c:delete val="0"/>
        <c:axPos val="b"/>
        <c:majorGridlines>
          <c:spPr>
            <a:ln w="9525" cap="flat" cmpd="sng" algn="ctr">
              <a:solidFill>
                <a:schemeClr val="tx1">
                  <a:lumMod val="15000"/>
                  <a:lumOff val="85000"/>
                </a:schemeClr>
              </a:solidFill>
              <a:prstDash val="sysDot"/>
              <a:round/>
            </a:ln>
            <a:effectLst/>
          </c:spPr>
        </c:majorGridlines>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5">
                    <a:lumMod val="75000"/>
                  </a:schemeClr>
                </a:solidFill>
                <a:latin typeface="Segoe UI" panose="020B0502040204020203" pitchFamily="34" charset="0"/>
                <a:ea typeface="+mn-ea"/>
                <a:cs typeface="Segoe UI" panose="020B0502040204020203" pitchFamily="34" charset="0"/>
              </a:defRPr>
            </a:pPr>
            <a:endParaRPr lang="en-US"/>
          </a:p>
        </c:txPr>
        <c:crossAx val="421098032"/>
        <c:crosses val="autoZero"/>
        <c:auto val="1"/>
        <c:lblOffset val="100"/>
        <c:baseTimeUnit val="months"/>
      </c:dateAx>
      <c:valAx>
        <c:axId val="421098032"/>
        <c:scaling>
          <c:orientation val="minMax"/>
        </c:scaling>
        <c:delete val="1"/>
        <c:axPos val="l"/>
        <c:numFmt formatCode="0.0" sourceLinked="1"/>
        <c:majorTickMark val="none"/>
        <c:minorTickMark val="none"/>
        <c:tickLblPos val="nextTo"/>
        <c:crossAx val="4210970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6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6724</xdr:colOff>
      <xdr:row>0</xdr:row>
      <xdr:rowOff>11206</xdr:rowOff>
    </xdr:from>
    <xdr:to>
      <xdr:col>4</xdr:col>
      <xdr:colOff>294379</xdr:colOff>
      <xdr:row>0</xdr:row>
      <xdr:rowOff>1276670</xdr:rowOff>
    </xdr:to>
    <xdr:grpSp>
      <xdr:nvGrpSpPr>
        <xdr:cNvPr id="20" name="Group 19">
          <a:extLst>
            <a:ext uri="{FF2B5EF4-FFF2-40B4-BE49-F238E27FC236}">
              <a16:creationId xmlns:a16="http://schemas.microsoft.com/office/drawing/2014/main" id="{8529D2CF-6B8C-4DBE-95C6-EB037A03F10B}"/>
            </a:ext>
          </a:extLst>
        </xdr:cNvPr>
        <xdr:cNvGrpSpPr>
          <a:grpSpLocks/>
        </xdr:cNvGrpSpPr>
      </xdr:nvGrpSpPr>
      <xdr:grpSpPr>
        <a:xfrm>
          <a:off x="6724" y="11206"/>
          <a:ext cx="12955905" cy="1265464"/>
          <a:chOff x="13607" y="0"/>
          <a:chExt cx="12984480" cy="1265464"/>
        </a:xfrm>
        <a:solidFill>
          <a:schemeClr val="accent2">
            <a:lumMod val="50000"/>
          </a:schemeClr>
        </a:solidFill>
      </xdr:grpSpPr>
      <xdr:sp macro="" textlink="">
        <xdr:nvSpPr>
          <xdr:cNvPr id="21" name="Rectangle 20">
            <a:extLst>
              <a:ext uri="{FF2B5EF4-FFF2-40B4-BE49-F238E27FC236}">
                <a16:creationId xmlns:a16="http://schemas.microsoft.com/office/drawing/2014/main" id="{9B1F8EB4-EDF5-5BCE-F8F3-1C6AA07EBFF3}"/>
              </a:ext>
            </a:extLst>
          </xdr:cNvPr>
          <xdr:cNvSpPr/>
        </xdr:nvSpPr>
        <xdr:spPr>
          <a:xfrm>
            <a:off x="13607" y="0"/>
            <a:ext cx="12984480" cy="1265464"/>
          </a:xfrm>
          <a:prstGeom prst="rect">
            <a:avLst/>
          </a:prstGeom>
          <a:grp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kern="1200"/>
          </a:p>
        </xdr:txBody>
      </xdr:sp>
      <xdr:sp macro="" textlink="">
        <xdr:nvSpPr>
          <xdr:cNvPr id="22" name="Rectangle 21">
            <a:extLst>
              <a:ext uri="{FF2B5EF4-FFF2-40B4-BE49-F238E27FC236}">
                <a16:creationId xmlns:a16="http://schemas.microsoft.com/office/drawing/2014/main" id="{F50AADE1-F826-EB5F-A11F-5FE23469E424}"/>
              </a:ext>
            </a:extLst>
          </xdr:cNvPr>
          <xdr:cNvSpPr/>
        </xdr:nvSpPr>
        <xdr:spPr>
          <a:xfrm>
            <a:off x="1734502" y="99124"/>
            <a:ext cx="6005561" cy="94129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4800" b="1">
                <a:solidFill>
                  <a:sysClr val="windowText" lastClr="000000"/>
                </a:solidFill>
                <a:effectLst/>
                <a:latin typeface="Segoe UI" panose="020B0502040204020203" pitchFamily="34" charset="0"/>
                <a:ea typeface="+mn-ea"/>
                <a:cs typeface="Segoe UI" panose="020B0502040204020203" pitchFamily="34" charset="0"/>
              </a:rPr>
              <a:t>RISK DASHBOARD</a:t>
            </a:r>
            <a:endParaRPr lang="en-US" sz="4800" b="1">
              <a:solidFill>
                <a:sysClr val="windowText" lastClr="000000"/>
              </a:solidFill>
              <a:effectLst/>
              <a:latin typeface="Segoe UI" panose="020B0502040204020203" pitchFamily="34" charset="0"/>
              <a:cs typeface="Segoe UI" panose="020B0502040204020203" pitchFamily="34" charset="0"/>
            </a:endParaRPr>
          </a:p>
        </xdr:txBody>
      </xdr:sp>
      <xdr:sp macro="" textlink="">
        <xdr:nvSpPr>
          <xdr:cNvPr id="24" name="Rectangle: Rounded Corners 23">
            <a:extLst>
              <a:ext uri="{FF2B5EF4-FFF2-40B4-BE49-F238E27FC236}">
                <a16:creationId xmlns:a16="http://schemas.microsoft.com/office/drawing/2014/main" id="{DEADAD15-B1EB-02EE-FE17-C614A936E901}"/>
              </a:ext>
            </a:extLst>
          </xdr:cNvPr>
          <xdr:cNvSpPr/>
        </xdr:nvSpPr>
        <xdr:spPr>
          <a:xfrm>
            <a:off x="10256586" y="374068"/>
            <a:ext cx="2639786" cy="503464"/>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latin typeface="Segoe UI" panose="020B0502040204020203" pitchFamily="34" charset="0"/>
                <a:cs typeface="Segoe UI" panose="020B0502040204020203" pitchFamily="34" charset="0"/>
              </a:rPr>
              <a:t>akiratech.ca</a:t>
            </a:r>
          </a:p>
        </xdr:txBody>
      </xdr:sp>
    </xdr:grpSp>
    <xdr:clientData/>
  </xdr:twoCellAnchor>
  <xdr:twoCellAnchor editAs="oneCell">
    <xdr:from>
      <xdr:col>3</xdr:col>
      <xdr:colOff>7067551</xdr:colOff>
      <xdr:row>1</xdr:row>
      <xdr:rowOff>28574</xdr:rowOff>
    </xdr:from>
    <xdr:to>
      <xdr:col>4</xdr:col>
      <xdr:colOff>190501</xdr:colOff>
      <xdr:row>6</xdr:row>
      <xdr:rowOff>676274</xdr:rowOff>
    </xdr:to>
    <xdr:pic>
      <xdr:nvPicPr>
        <xdr:cNvPr id="2" name="Picture 1" descr="Guide to the 5 Steps of the Risk Management Lifecycle">
          <a:extLst>
            <a:ext uri="{FF2B5EF4-FFF2-40B4-BE49-F238E27FC236}">
              <a16:creationId xmlns:a16="http://schemas.microsoft.com/office/drawing/2014/main" id="{E774D4AB-199F-D131-09CA-D3CCAF21AE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01" y="1743074"/>
          <a:ext cx="2952750" cy="295275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582631</xdr:colOff>
      <xdr:row>53</xdr:row>
      <xdr:rowOff>150172</xdr:rowOff>
    </xdr:from>
    <xdr:to>
      <xdr:col>14</xdr:col>
      <xdr:colOff>242454</xdr:colOff>
      <xdr:row>84</xdr:row>
      <xdr:rowOff>41563</xdr:rowOff>
    </xdr:to>
    <xdr:grpSp>
      <xdr:nvGrpSpPr>
        <xdr:cNvPr id="3" name="Group 2">
          <a:extLst>
            <a:ext uri="{FF2B5EF4-FFF2-40B4-BE49-F238E27FC236}">
              <a16:creationId xmlns:a16="http://schemas.microsoft.com/office/drawing/2014/main" id="{33C9ED7B-1AED-3BCE-97DC-44E06C2DC9BA}"/>
            </a:ext>
          </a:extLst>
        </xdr:cNvPr>
        <xdr:cNvGrpSpPr/>
      </xdr:nvGrpSpPr>
      <xdr:grpSpPr>
        <a:xfrm>
          <a:off x="582631" y="10246672"/>
          <a:ext cx="8518073" cy="5796891"/>
          <a:chOff x="4801375" y="1700891"/>
          <a:chExt cx="5274944" cy="5592537"/>
        </a:xfrm>
      </xdr:grpSpPr>
      <xdr:sp macro="" textlink="">
        <xdr:nvSpPr>
          <xdr:cNvPr id="9" name="Rectangle: Rounded Corners 8">
            <a:extLst>
              <a:ext uri="{FF2B5EF4-FFF2-40B4-BE49-F238E27FC236}">
                <a16:creationId xmlns:a16="http://schemas.microsoft.com/office/drawing/2014/main" id="{09510BB3-45F8-BC6C-19F6-A9CF146F1C30}"/>
              </a:ext>
            </a:extLst>
          </xdr:cNvPr>
          <xdr:cNvSpPr/>
        </xdr:nvSpPr>
        <xdr:spPr>
          <a:xfrm>
            <a:off x="4942746" y="1700891"/>
            <a:ext cx="5133573" cy="5592537"/>
          </a:xfrm>
          <a:prstGeom prst="roundRect">
            <a:avLst>
              <a:gd name="adj" fmla="val 6006"/>
            </a:avLst>
          </a:prstGeom>
          <a:solidFill>
            <a:srgbClr val="F5F5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 name="Chart 7">
            <a:extLst>
              <a:ext uri="{FF2B5EF4-FFF2-40B4-BE49-F238E27FC236}">
                <a16:creationId xmlns:a16="http://schemas.microsoft.com/office/drawing/2014/main" id="{AB68E320-1FFD-4AB7-83B3-3F3B39D1929A}"/>
              </a:ext>
            </a:extLst>
          </xdr:cNvPr>
          <xdr:cNvGraphicFramePr>
            <a:graphicFrameLocks/>
          </xdr:cNvGraphicFramePr>
        </xdr:nvGraphicFramePr>
        <xdr:xfrm>
          <a:off x="4801375" y="2617675"/>
          <a:ext cx="5213094" cy="441721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0" name="TextBox 9">
            <a:extLst>
              <a:ext uri="{FF2B5EF4-FFF2-40B4-BE49-F238E27FC236}">
                <a16:creationId xmlns:a16="http://schemas.microsoft.com/office/drawing/2014/main" id="{C0241363-C737-AE5F-D619-FF3DF314C1DA}"/>
              </a:ext>
            </a:extLst>
          </xdr:cNvPr>
          <xdr:cNvSpPr txBox="1"/>
        </xdr:nvSpPr>
        <xdr:spPr>
          <a:xfrm>
            <a:off x="5039941" y="1870979"/>
            <a:ext cx="3744874"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2">
                    <a:lumMod val="75000"/>
                  </a:schemeClr>
                </a:solidFill>
                <a:latin typeface="Segoe UI Black" panose="020B0A02040204020203" pitchFamily="34" charset="0"/>
                <a:ea typeface="Segoe UI Black" panose="020B0A02040204020203" pitchFamily="34" charset="0"/>
              </a:rPr>
              <a:t>Active Risks - by Risk</a:t>
            </a:r>
            <a:r>
              <a:rPr lang="en-US" sz="1800" b="1" baseline="0">
                <a:solidFill>
                  <a:schemeClr val="accent2">
                    <a:lumMod val="75000"/>
                  </a:schemeClr>
                </a:solidFill>
                <a:latin typeface="Segoe UI Black" panose="020B0A02040204020203" pitchFamily="34" charset="0"/>
                <a:ea typeface="Segoe UI Black" panose="020B0A02040204020203" pitchFamily="34" charset="0"/>
              </a:rPr>
              <a:t> Levels</a:t>
            </a:r>
            <a:endParaRPr lang="en-US" sz="1800" b="1">
              <a:solidFill>
                <a:schemeClr val="accent2">
                  <a:lumMod val="75000"/>
                </a:schemeClr>
              </a:solidFill>
              <a:latin typeface="Segoe UI Black" panose="020B0A02040204020203" pitchFamily="34" charset="0"/>
              <a:ea typeface="Segoe UI Black" panose="020B0A02040204020203" pitchFamily="34" charset="0"/>
            </a:endParaRPr>
          </a:p>
        </xdr:txBody>
      </xdr:sp>
      <xdr:cxnSp macro="">
        <xdr:nvCxnSpPr>
          <xdr:cNvPr id="26" name="Straight Connector 25">
            <a:extLst>
              <a:ext uri="{FF2B5EF4-FFF2-40B4-BE49-F238E27FC236}">
                <a16:creationId xmlns:a16="http://schemas.microsoft.com/office/drawing/2014/main" id="{E47032E7-33D4-2758-F5AE-890E1FE72E66}"/>
              </a:ext>
            </a:extLst>
          </xdr:cNvPr>
          <xdr:cNvCxnSpPr/>
        </xdr:nvCxnSpPr>
        <xdr:spPr>
          <a:xfrm flipV="1">
            <a:off x="5140114" y="2604879"/>
            <a:ext cx="4393842" cy="3922"/>
          </a:xfrm>
          <a:prstGeom prst="line">
            <a:avLst/>
          </a:prstGeom>
          <a:ln>
            <a:solidFill>
              <a:srgbClr val="252B42"/>
            </a:solidFill>
          </a:ln>
        </xdr:spPr>
        <xdr:style>
          <a:lnRef idx="1">
            <a:schemeClr val="accent1"/>
          </a:lnRef>
          <a:fillRef idx="0">
            <a:schemeClr val="accent1"/>
          </a:fillRef>
          <a:effectRef idx="0">
            <a:schemeClr val="accent1"/>
          </a:effectRef>
          <a:fontRef idx="minor">
            <a:schemeClr val="tx1"/>
          </a:fontRef>
        </xdr:style>
      </xdr:cxnSp>
      <xdr:sp macro="" textlink="">
        <xdr:nvSpPr>
          <xdr:cNvPr id="27" name="TextBox 26">
            <a:extLst>
              <a:ext uri="{FF2B5EF4-FFF2-40B4-BE49-F238E27FC236}">
                <a16:creationId xmlns:a16="http://schemas.microsoft.com/office/drawing/2014/main" id="{70096551-8169-B57E-FFA5-C1792B381FA8}"/>
              </a:ext>
            </a:extLst>
          </xdr:cNvPr>
          <xdr:cNvSpPr txBox="1"/>
        </xdr:nvSpPr>
        <xdr:spPr>
          <a:xfrm>
            <a:off x="5057143" y="2256046"/>
            <a:ext cx="2889760"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Shows</a:t>
            </a:r>
            <a:r>
              <a:rPr lang="en-US" sz="1100" b="0" baseline="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 the number of risks according to each Level</a:t>
            </a:r>
            <a:endParaRPr lang="en-US" sz="1100" b="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1</xdr:col>
      <xdr:colOff>285748</xdr:colOff>
      <xdr:row>15</xdr:row>
      <xdr:rowOff>136071</xdr:rowOff>
    </xdr:from>
    <xdr:to>
      <xdr:col>7</xdr:col>
      <xdr:colOff>136070</xdr:colOff>
      <xdr:row>88</xdr:row>
      <xdr:rowOff>108856</xdr:rowOff>
    </xdr:to>
    <xdr:graphicFrame macro="">
      <xdr:nvGraphicFramePr>
        <xdr:cNvPr id="31" name="Donutchart">
          <a:extLst>
            <a:ext uri="{FF2B5EF4-FFF2-40B4-BE49-F238E27FC236}">
              <a16:creationId xmlns:a16="http://schemas.microsoft.com/office/drawing/2014/main" id="{B2E5149B-3F1B-42ED-A6C8-CDC357F5F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190502</xdr:colOff>
      <xdr:row>7</xdr:row>
      <xdr:rowOff>108855</xdr:rowOff>
    </xdr:from>
    <xdr:to>
      <xdr:col>5</xdr:col>
      <xdr:colOff>435428</xdr:colOff>
      <xdr:row>20</xdr:row>
      <xdr:rowOff>146276</xdr:rowOff>
    </xdr:to>
    <xdr:grpSp>
      <xdr:nvGrpSpPr>
        <xdr:cNvPr id="24" name="Group 23">
          <a:extLst>
            <a:ext uri="{FF2B5EF4-FFF2-40B4-BE49-F238E27FC236}">
              <a16:creationId xmlns:a16="http://schemas.microsoft.com/office/drawing/2014/main" id="{F87C2499-17C0-9B1B-3F3E-A47B794F7A37}"/>
            </a:ext>
          </a:extLst>
        </xdr:cNvPr>
        <xdr:cNvGrpSpPr/>
      </xdr:nvGrpSpPr>
      <xdr:grpSpPr>
        <a:xfrm>
          <a:off x="800102" y="1442355"/>
          <a:ext cx="3007176" cy="2513921"/>
          <a:chOff x="892971" y="1700890"/>
          <a:chExt cx="2998142" cy="2513921"/>
        </a:xfrm>
        <a:solidFill>
          <a:schemeClr val="accent2">
            <a:lumMod val="75000"/>
          </a:schemeClr>
        </a:solidFill>
      </xdr:grpSpPr>
      <xdr:sp macro="" textlink="">
        <xdr:nvSpPr>
          <xdr:cNvPr id="7" name="Rectangle: Rounded Corners 6">
            <a:extLst>
              <a:ext uri="{FF2B5EF4-FFF2-40B4-BE49-F238E27FC236}">
                <a16:creationId xmlns:a16="http://schemas.microsoft.com/office/drawing/2014/main" id="{C9EDB577-3689-578D-A6E1-8AD87DB381BC}"/>
              </a:ext>
            </a:extLst>
          </xdr:cNvPr>
          <xdr:cNvSpPr/>
        </xdr:nvSpPr>
        <xdr:spPr>
          <a:xfrm>
            <a:off x="892971" y="1700890"/>
            <a:ext cx="2998142" cy="2513921"/>
          </a:xfrm>
          <a:prstGeom prst="roundRect">
            <a:avLst>
              <a:gd name="adj" fmla="val 9032"/>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 name="TextBox 10">
            <a:extLst>
              <a:ext uri="{FF2B5EF4-FFF2-40B4-BE49-F238E27FC236}">
                <a16:creationId xmlns:a16="http://schemas.microsoft.com/office/drawing/2014/main" id="{76D0F9FC-0D1C-65A7-F075-28BA289AE535}"/>
              </a:ext>
            </a:extLst>
          </xdr:cNvPr>
          <xdr:cNvSpPr txBox="1"/>
        </xdr:nvSpPr>
        <xdr:spPr>
          <a:xfrm>
            <a:off x="974408" y="1823354"/>
            <a:ext cx="2469696" cy="53068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Segoe UI Black" panose="020B0A02040204020203" pitchFamily="34" charset="0"/>
                <a:ea typeface="Segoe UI Black" panose="020B0A02040204020203" pitchFamily="34" charset="0"/>
                <a:cs typeface="Segoe UI" panose="020B0502040204020203" pitchFamily="34" charset="0"/>
              </a:rPr>
              <a:t>Active Risks</a:t>
            </a:r>
          </a:p>
        </xdr:txBody>
      </xdr:sp>
      <xdr:sp macro="" textlink="">
        <xdr:nvSpPr>
          <xdr:cNvPr id="15" name="TextBox 14">
            <a:extLst>
              <a:ext uri="{FF2B5EF4-FFF2-40B4-BE49-F238E27FC236}">
                <a16:creationId xmlns:a16="http://schemas.microsoft.com/office/drawing/2014/main" id="{E778D425-EB67-6C76-C8C2-487137E0F9B1}"/>
              </a:ext>
            </a:extLst>
          </xdr:cNvPr>
          <xdr:cNvSpPr txBox="1"/>
        </xdr:nvSpPr>
        <xdr:spPr>
          <a:xfrm>
            <a:off x="961006" y="2177140"/>
            <a:ext cx="2700520" cy="34018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rPr>
              <a:t>Total risks under active management</a:t>
            </a:r>
          </a:p>
        </xdr:txBody>
      </xdr:sp>
      <xdr:cxnSp macro="">
        <xdr:nvCxnSpPr>
          <xdr:cNvPr id="30" name="Straight Connector 29">
            <a:extLst>
              <a:ext uri="{FF2B5EF4-FFF2-40B4-BE49-F238E27FC236}">
                <a16:creationId xmlns:a16="http://schemas.microsoft.com/office/drawing/2014/main" id="{193866EC-F1C0-FA9F-BF25-8652DD26D6FE}"/>
              </a:ext>
            </a:extLst>
          </xdr:cNvPr>
          <xdr:cNvCxnSpPr/>
        </xdr:nvCxnSpPr>
        <xdr:spPr>
          <a:xfrm>
            <a:off x="1056254" y="2509630"/>
            <a:ext cx="2631884" cy="2589"/>
          </a:xfrm>
          <a:prstGeom prst="line">
            <a:avLst/>
          </a:prstGeom>
          <a:grpFill/>
          <a:ln>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RiskPivots!C92">
        <xdr:nvSpPr>
          <xdr:cNvPr id="34" name="percent_compliance">
            <a:extLst>
              <a:ext uri="{FF2B5EF4-FFF2-40B4-BE49-F238E27FC236}">
                <a16:creationId xmlns:a16="http://schemas.microsoft.com/office/drawing/2014/main" id="{E0D21FD1-28D3-04FE-982A-71BE6EADDE5A}"/>
              </a:ext>
            </a:extLst>
          </xdr:cNvPr>
          <xdr:cNvSpPr txBox="1"/>
        </xdr:nvSpPr>
        <xdr:spPr>
          <a:xfrm>
            <a:off x="1383025" y="2734037"/>
            <a:ext cx="1529504" cy="102053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4E42551-B7A9-41C7-B9FE-EEDA2B5C7408}" type="TxLink">
              <a:rPr lang="en-US" sz="6600" b="0" i="0" u="none" strike="noStrike">
                <a:solidFill>
                  <a:schemeClr val="bg1"/>
                </a:solidFill>
                <a:latin typeface="Segoe UI Black" panose="020B0A02040204020203" pitchFamily="34" charset="0"/>
                <a:ea typeface="Segoe UI Black" panose="020B0A02040204020203" pitchFamily="34" charset="0"/>
                <a:cs typeface="Segoe UI" panose="020B0502040204020203" pitchFamily="34" charset="0"/>
              </a:rPr>
              <a:pPr marL="0" indent="0" algn="ctr"/>
              <a:t>17</a:t>
            </a:fld>
            <a:endParaRPr lang="en-US" sz="41300" b="0">
              <a:solidFill>
                <a:schemeClr val="bg1"/>
              </a:solidFill>
              <a:latin typeface="Segoe UI Black" panose="020B0A02040204020203" pitchFamily="34" charset="0"/>
              <a:ea typeface="Segoe UI Black" panose="020B0A02040204020203" pitchFamily="34" charset="0"/>
              <a:cs typeface="Segoe UI" panose="020B0502040204020203" pitchFamily="34" charset="0"/>
            </a:endParaRPr>
          </a:p>
        </xdr:txBody>
      </xdr:sp>
    </xdr:grpSp>
    <xdr:clientData/>
  </xdr:twoCellAnchor>
  <xdr:twoCellAnchor editAs="absolute">
    <xdr:from>
      <xdr:col>6</xdr:col>
      <xdr:colOff>193221</xdr:colOff>
      <xdr:row>7</xdr:row>
      <xdr:rowOff>97969</xdr:rowOff>
    </xdr:from>
    <xdr:to>
      <xdr:col>11</xdr:col>
      <xdr:colOff>163285</xdr:colOff>
      <xdr:row>20</xdr:row>
      <xdr:rowOff>135390</xdr:rowOff>
    </xdr:to>
    <xdr:grpSp>
      <xdr:nvGrpSpPr>
        <xdr:cNvPr id="4" name="Group 3">
          <a:extLst>
            <a:ext uri="{FF2B5EF4-FFF2-40B4-BE49-F238E27FC236}">
              <a16:creationId xmlns:a16="http://schemas.microsoft.com/office/drawing/2014/main" id="{6F9256E2-61FC-4EFE-8435-30DC00996FC1}"/>
            </a:ext>
          </a:extLst>
        </xdr:cNvPr>
        <xdr:cNvGrpSpPr/>
      </xdr:nvGrpSpPr>
      <xdr:grpSpPr>
        <a:xfrm>
          <a:off x="4174671" y="1431469"/>
          <a:ext cx="3018064" cy="2513921"/>
          <a:chOff x="892971" y="1700890"/>
          <a:chExt cx="2521630" cy="2513921"/>
        </a:xfrm>
        <a:solidFill>
          <a:schemeClr val="accent2">
            <a:lumMod val="75000"/>
          </a:schemeClr>
        </a:solidFill>
      </xdr:grpSpPr>
      <xdr:sp macro="" textlink="">
        <xdr:nvSpPr>
          <xdr:cNvPr id="12" name="Rectangle: Rounded Corners 11">
            <a:extLst>
              <a:ext uri="{FF2B5EF4-FFF2-40B4-BE49-F238E27FC236}">
                <a16:creationId xmlns:a16="http://schemas.microsoft.com/office/drawing/2014/main" id="{B426A916-E968-F95D-1557-6232C3426EB2}"/>
              </a:ext>
            </a:extLst>
          </xdr:cNvPr>
          <xdr:cNvSpPr/>
        </xdr:nvSpPr>
        <xdr:spPr>
          <a:xfrm>
            <a:off x="892971" y="1700890"/>
            <a:ext cx="2521630" cy="2513921"/>
          </a:xfrm>
          <a:prstGeom prst="roundRect">
            <a:avLst>
              <a:gd name="adj" fmla="val 9032"/>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 name="TextBox 19">
            <a:extLst>
              <a:ext uri="{FF2B5EF4-FFF2-40B4-BE49-F238E27FC236}">
                <a16:creationId xmlns:a16="http://schemas.microsoft.com/office/drawing/2014/main" id="{825FACDF-D39B-BB4E-6F5E-93C282FC8126}"/>
              </a:ext>
            </a:extLst>
          </xdr:cNvPr>
          <xdr:cNvSpPr txBox="1"/>
        </xdr:nvSpPr>
        <xdr:spPr>
          <a:xfrm>
            <a:off x="947398" y="1864176"/>
            <a:ext cx="2286116" cy="39188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Segoe UI Black" panose="020B0A02040204020203" pitchFamily="34" charset="0"/>
                <a:ea typeface="Segoe UI Black" panose="020B0A02040204020203" pitchFamily="34" charset="0"/>
                <a:cs typeface="Segoe UI" panose="020B0502040204020203" pitchFamily="34" charset="0"/>
              </a:rPr>
              <a:t>Mitigated Risks</a:t>
            </a:r>
          </a:p>
        </xdr:txBody>
      </xdr:sp>
      <xdr:sp macro="" textlink="">
        <xdr:nvSpPr>
          <xdr:cNvPr id="23" name="TextBox 22">
            <a:extLst>
              <a:ext uri="{FF2B5EF4-FFF2-40B4-BE49-F238E27FC236}">
                <a16:creationId xmlns:a16="http://schemas.microsoft.com/office/drawing/2014/main" id="{970A0FD3-705B-D64F-C266-C8A619314F9F}"/>
              </a:ext>
            </a:extLst>
          </xdr:cNvPr>
          <xdr:cNvSpPr txBox="1"/>
        </xdr:nvSpPr>
        <xdr:spPr>
          <a:xfrm>
            <a:off x="961006" y="2177140"/>
            <a:ext cx="2432275" cy="34018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rPr>
              <a:t>Percentage of risks</a:t>
            </a:r>
            <a:r>
              <a:rPr lang="en-US" sz="1100" b="0" baseline="0">
                <a:solidFill>
                  <a:schemeClr val="bg1"/>
                </a:solidFill>
                <a:latin typeface="Segoe UI" panose="020B0502040204020203" pitchFamily="34" charset="0"/>
                <a:ea typeface="Segoe UI Black" panose="020B0A02040204020203" pitchFamily="34" charset="0"/>
                <a:cs typeface="Segoe UI" panose="020B0502040204020203" pitchFamily="34" charset="0"/>
              </a:rPr>
              <a:t> that are mitigated so far</a:t>
            </a:r>
            <a:endPar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xnSp macro="">
        <xdr:nvCxnSpPr>
          <xdr:cNvPr id="25" name="Straight Connector 24">
            <a:extLst>
              <a:ext uri="{FF2B5EF4-FFF2-40B4-BE49-F238E27FC236}">
                <a16:creationId xmlns:a16="http://schemas.microsoft.com/office/drawing/2014/main" id="{1145DA43-7C69-B3CD-EC15-3F6BE86AFDF8}"/>
              </a:ext>
            </a:extLst>
          </xdr:cNvPr>
          <xdr:cNvCxnSpPr/>
        </xdr:nvCxnSpPr>
        <xdr:spPr>
          <a:xfrm>
            <a:off x="1022300" y="2509630"/>
            <a:ext cx="2289402" cy="2589"/>
          </a:xfrm>
          <a:prstGeom prst="line">
            <a:avLst/>
          </a:prstGeom>
          <a:grpFill/>
          <a:ln>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RiskPivots!E73">
        <xdr:nvSpPr>
          <xdr:cNvPr id="28" name="percent_compliance">
            <a:extLst>
              <a:ext uri="{FF2B5EF4-FFF2-40B4-BE49-F238E27FC236}">
                <a16:creationId xmlns:a16="http://schemas.microsoft.com/office/drawing/2014/main" id="{22CAC42D-A46F-F90A-86A8-EBDEAD1E50A6}"/>
              </a:ext>
            </a:extLst>
          </xdr:cNvPr>
          <xdr:cNvSpPr txBox="1"/>
        </xdr:nvSpPr>
        <xdr:spPr>
          <a:xfrm>
            <a:off x="1383025" y="2734037"/>
            <a:ext cx="1529504" cy="102053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0FF42C-731A-4887-BB13-72C208E1C68F}" type="TxLink">
              <a:rPr lang="en-US" sz="6600" b="0" i="0" u="none" strike="noStrike">
                <a:solidFill>
                  <a:schemeClr val="bg1"/>
                </a:solidFill>
                <a:latin typeface="Segoe UI Black" panose="020B0A02040204020203" pitchFamily="34" charset="0"/>
                <a:ea typeface="Segoe UI Black" panose="020B0A02040204020203" pitchFamily="34" charset="0"/>
                <a:cs typeface="Segoe UI" panose="020B0502040204020203" pitchFamily="34" charset="0"/>
              </a:rPr>
              <a:pPr marL="0" indent="0" algn="ctr"/>
              <a:t>5%</a:t>
            </a:fld>
            <a:endParaRPr lang="en-US" sz="333300" b="0">
              <a:solidFill>
                <a:schemeClr val="bg1"/>
              </a:solidFill>
              <a:latin typeface="Segoe UI Black" panose="020B0A02040204020203" pitchFamily="34" charset="0"/>
              <a:ea typeface="Segoe UI Black" panose="020B0A02040204020203" pitchFamily="34" charset="0"/>
              <a:cs typeface="Segoe UI" panose="020B0502040204020203" pitchFamily="34" charset="0"/>
            </a:endParaRPr>
          </a:p>
        </xdr:txBody>
      </xdr:sp>
    </xdr:grpSp>
    <xdr:clientData/>
  </xdr:twoCellAnchor>
  <xdr:twoCellAnchor editAs="absolute">
    <xdr:from>
      <xdr:col>0</xdr:col>
      <xdr:colOff>41829</xdr:colOff>
      <xdr:row>0</xdr:row>
      <xdr:rowOff>98778</xdr:rowOff>
    </xdr:from>
    <xdr:to>
      <xdr:col>29</xdr:col>
      <xdr:colOff>259543</xdr:colOff>
      <xdr:row>7</xdr:row>
      <xdr:rowOff>23686</xdr:rowOff>
    </xdr:to>
    <xdr:grpSp>
      <xdr:nvGrpSpPr>
        <xdr:cNvPr id="18" name="Group 17">
          <a:extLst>
            <a:ext uri="{FF2B5EF4-FFF2-40B4-BE49-F238E27FC236}">
              <a16:creationId xmlns:a16="http://schemas.microsoft.com/office/drawing/2014/main" id="{DD652988-EAB1-E734-74FA-E2FE753812DE}"/>
            </a:ext>
          </a:extLst>
        </xdr:cNvPr>
        <xdr:cNvGrpSpPr>
          <a:grpSpLocks/>
        </xdr:cNvGrpSpPr>
      </xdr:nvGrpSpPr>
      <xdr:grpSpPr>
        <a:xfrm>
          <a:off x="41829" y="98778"/>
          <a:ext cx="18219964" cy="1258408"/>
          <a:chOff x="13607" y="0"/>
          <a:chExt cx="18301607" cy="1265464"/>
        </a:xfrm>
      </xdr:grpSpPr>
      <xdr:sp macro="" textlink="">
        <xdr:nvSpPr>
          <xdr:cNvPr id="16" name="Rectangle 15">
            <a:extLst>
              <a:ext uri="{FF2B5EF4-FFF2-40B4-BE49-F238E27FC236}">
                <a16:creationId xmlns:a16="http://schemas.microsoft.com/office/drawing/2014/main" id="{4A442A50-9C22-1ADC-BA9C-6B1D16E03F11}"/>
              </a:ext>
            </a:extLst>
          </xdr:cNvPr>
          <xdr:cNvSpPr/>
        </xdr:nvSpPr>
        <xdr:spPr>
          <a:xfrm>
            <a:off x="13607" y="0"/>
            <a:ext cx="18301607" cy="1265464"/>
          </a:xfrm>
          <a:prstGeom prst="rect">
            <a:avLst/>
          </a:prstGeom>
          <a:solidFill>
            <a:schemeClr val="accent2">
              <a:lumMod val="5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kern="1200"/>
          </a:p>
        </xdr:txBody>
      </xdr:sp>
      <xdr:sp macro="" textlink="">
        <xdr:nvSpPr>
          <xdr:cNvPr id="6" name="Rectangle 5">
            <a:extLst>
              <a:ext uri="{FF2B5EF4-FFF2-40B4-BE49-F238E27FC236}">
                <a16:creationId xmlns:a16="http://schemas.microsoft.com/office/drawing/2014/main" id="{5C11FBAE-C86B-13A1-C003-EA999969D7E4}"/>
              </a:ext>
            </a:extLst>
          </xdr:cNvPr>
          <xdr:cNvSpPr/>
        </xdr:nvSpPr>
        <xdr:spPr>
          <a:xfrm>
            <a:off x="3818796" y="121536"/>
            <a:ext cx="6005561" cy="941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4800" b="1">
                <a:solidFill>
                  <a:sysClr val="windowText" lastClr="000000"/>
                </a:solidFill>
                <a:effectLst/>
                <a:latin typeface="Segoe UI" panose="020B0502040204020203" pitchFamily="34" charset="0"/>
                <a:ea typeface="+mn-ea"/>
                <a:cs typeface="Segoe UI" panose="020B0502040204020203" pitchFamily="34" charset="0"/>
              </a:rPr>
              <a:t>RISK DASHBOARD</a:t>
            </a:r>
            <a:endParaRPr lang="en-US" sz="4800" b="1">
              <a:solidFill>
                <a:sysClr val="windowText" lastClr="000000"/>
              </a:solidFill>
              <a:effectLst/>
              <a:latin typeface="Segoe UI" panose="020B0502040204020203" pitchFamily="34" charset="0"/>
              <a:cs typeface="Segoe UI" panose="020B0502040204020203" pitchFamily="34" charset="0"/>
            </a:endParaRPr>
          </a:p>
        </xdr:txBody>
      </xdr:sp>
    </xdr:grpSp>
    <xdr:clientData/>
  </xdr:twoCellAnchor>
  <xdr:twoCellAnchor>
    <xdr:from>
      <xdr:col>1</xdr:col>
      <xdr:colOff>328708</xdr:colOff>
      <xdr:row>87</xdr:row>
      <xdr:rowOff>93916</xdr:rowOff>
    </xdr:from>
    <xdr:to>
      <xdr:col>15</xdr:col>
      <xdr:colOff>455709</xdr:colOff>
      <xdr:row>103</xdr:row>
      <xdr:rowOff>207842</xdr:rowOff>
    </xdr:to>
    <xdr:sp macro="" textlink="">
      <xdr:nvSpPr>
        <xdr:cNvPr id="22" name="Rectangle: Rounded Corners 21">
          <a:extLst>
            <a:ext uri="{FF2B5EF4-FFF2-40B4-BE49-F238E27FC236}">
              <a16:creationId xmlns:a16="http://schemas.microsoft.com/office/drawing/2014/main" id="{C00745E8-B6A3-5C71-E0FB-989A9A6B49A0}"/>
            </a:ext>
          </a:extLst>
        </xdr:cNvPr>
        <xdr:cNvSpPr/>
      </xdr:nvSpPr>
      <xdr:spPr>
        <a:xfrm>
          <a:off x="1030943" y="16798151"/>
          <a:ext cx="10316884" cy="5388162"/>
        </a:xfrm>
        <a:prstGeom prst="roundRect">
          <a:avLst>
            <a:gd name="adj" fmla="val 5942"/>
          </a:avLst>
        </a:prstGeom>
        <a:noFill/>
        <a:ln w="57150">
          <a:solidFill>
            <a:srgbClr val="A29BF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ln>
              <a:solidFill>
                <a:schemeClr val="accent2"/>
              </a:solidFill>
            </a:ln>
          </a:endParaRPr>
        </a:p>
      </xdr:txBody>
    </xdr:sp>
    <xdr:clientData/>
  </xdr:twoCellAnchor>
  <xdr:twoCellAnchor>
    <xdr:from>
      <xdr:col>1</xdr:col>
      <xdr:colOff>560483</xdr:colOff>
      <xdr:row>88</xdr:row>
      <xdr:rowOff>80367</xdr:rowOff>
    </xdr:from>
    <xdr:to>
      <xdr:col>5</xdr:col>
      <xdr:colOff>5643</xdr:colOff>
      <xdr:row>90</xdr:row>
      <xdr:rowOff>144702</xdr:rowOff>
    </xdr:to>
    <xdr:sp macro="" textlink="">
      <xdr:nvSpPr>
        <xdr:cNvPr id="29" name="TextBox 28">
          <a:extLst>
            <a:ext uri="{FF2B5EF4-FFF2-40B4-BE49-F238E27FC236}">
              <a16:creationId xmlns:a16="http://schemas.microsoft.com/office/drawing/2014/main" id="{5FB5553D-ABCE-4C20-A2BB-D6C8AEFA051D}"/>
            </a:ext>
          </a:extLst>
        </xdr:cNvPr>
        <xdr:cNvSpPr txBox="1"/>
      </xdr:nvSpPr>
      <xdr:spPr>
        <a:xfrm>
          <a:off x="1172804" y="10557867"/>
          <a:ext cx="2221018" cy="445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accent2">
                  <a:lumMod val="75000"/>
                </a:schemeClr>
              </a:solidFill>
              <a:latin typeface="Segoe UI Black" panose="020B0A02040204020203" pitchFamily="34" charset="0"/>
              <a:ea typeface="Segoe UI Black" panose="020B0A02040204020203" pitchFamily="34" charset="0"/>
              <a:cs typeface="Segoe UI" panose="020B0502040204020203" pitchFamily="34" charset="0"/>
            </a:rPr>
            <a:t>Risk Heatmap</a:t>
          </a:r>
        </a:p>
      </xdr:txBody>
    </xdr:sp>
    <xdr:clientData/>
  </xdr:twoCellAnchor>
  <xdr:twoCellAnchor>
    <xdr:from>
      <xdr:col>1</xdr:col>
      <xdr:colOff>560483</xdr:colOff>
      <xdr:row>90</xdr:row>
      <xdr:rowOff>139989</xdr:rowOff>
    </xdr:from>
    <xdr:to>
      <xdr:col>7</xdr:col>
      <xdr:colOff>107682</xdr:colOff>
      <xdr:row>92</xdr:row>
      <xdr:rowOff>74223</xdr:rowOff>
    </xdr:to>
    <xdr:sp macro="" textlink="">
      <xdr:nvSpPr>
        <xdr:cNvPr id="33" name="TextBox 32">
          <a:extLst>
            <a:ext uri="{FF2B5EF4-FFF2-40B4-BE49-F238E27FC236}">
              <a16:creationId xmlns:a16="http://schemas.microsoft.com/office/drawing/2014/main" id="{40426AFB-CA1E-4D5E-9A27-4FA420735EF6}"/>
            </a:ext>
          </a:extLst>
        </xdr:cNvPr>
        <xdr:cNvSpPr txBox="1"/>
      </xdr:nvSpPr>
      <xdr:spPr>
        <a:xfrm>
          <a:off x="1172804" y="10998489"/>
          <a:ext cx="3547699" cy="342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252B42"/>
              </a:solidFill>
              <a:latin typeface="Segoe UI" panose="020B0502040204020203" pitchFamily="34" charset="0"/>
              <a:ea typeface="Segoe UI Black" panose="020B0A02040204020203" pitchFamily="34" charset="0"/>
              <a:cs typeface="Segoe UI" panose="020B0502040204020203" pitchFamily="34" charset="0"/>
            </a:rPr>
            <a:t>Heatmap showing all Active Risks</a:t>
          </a:r>
        </a:p>
      </xdr:txBody>
    </xdr:sp>
    <xdr:clientData/>
  </xdr:twoCellAnchor>
  <xdr:twoCellAnchor>
    <xdr:from>
      <xdr:col>1</xdr:col>
      <xdr:colOff>560482</xdr:colOff>
      <xdr:row>92</xdr:row>
      <xdr:rowOff>73060</xdr:rowOff>
    </xdr:from>
    <xdr:to>
      <xdr:col>14</xdr:col>
      <xdr:colOff>320452</xdr:colOff>
      <xdr:row>92</xdr:row>
      <xdr:rowOff>74220</xdr:rowOff>
    </xdr:to>
    <xdr:cxnSp macro="">
      <xdr:nvCxnSpPr>
        <xdr:cNvPr id="35" name="Straight Connector 34">
          <a:extLst>
            <a:ext uri="{FF2B5EF4-FFF2-40B4-BE49-F238E27FC236}">
              <a16:creationId xmlns:a16="http://schemas.microsoft.com/office/drawing/2014/main" id="{54159814-5774-4FD3-99B6-5FBB9DF9B963}"/>
            </a:ext>
          </a:extLst>
        </xdr:cNvPr>
        <xdr:cNvCxnSpPr/>
      </xdr:nvCxnSpPr>
      <xdr:spPr>
        <a:xfrm flipV="1">
          <a:off x="1172803" y="11339774"/>
          <a:ext cx="8046720" cy="1160"/>
        </a:xfrm>
        <a:prstGeom prst="line">
          <a:avLst/>
        </a:prstGeom>
        <a:ln>
          <a:solidFill>
            <a:srgbClr val="252B4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12</xdr:col>
      <xdr:colOff>70756</xdr:colOff>
      <xdr:row>7</xdr:row>
      <xdr:rowOff>111573</xdr:rowOff>
    </xdr:from>
    <xdr:to>
      <xdr:col>17</xdr:col>
      <xdr:colOff>40820</xdr:colOff>
      <xdr:row>20</xdr:row>
      <xdr:rowOff>148994</xdr:rowOff>
    </xdr:to>
    <xdr:grpSp>
      <xdr:nvGrpSpPr>
        <xdr:cNvPr id="47" name="Group 46">
          <a:extLst>
            <a:ext uri="{FF2B5EF4-FFF2-40B4-BE49-F238E27FC236}">
              <a16:creationId xmlns:a16="http://schemas.microsoft.com/office/drawing/2014/main" id="{16281D26-102B-34B8-21EE-F981F3C0BA19}"/>
            </a:ext>
          </a:extLst>
        </xdr:cNvPr>
        <xdr:cNvGrpSpPr/>
      </xdr:nvGrpSpPr>
      <xdr:grpSpPr>
        <a:xfrm>
          <a:off x="7709806" y="1445073"/>
          <a:ext cx="3018064" cy="2513921"/>
          <a:chOff x="892971" y="1700890"/>
          <a:chExt cx="2521630" cy="2513921"/>
        </a:xfrm>
        <a:solidFill>
          <a:schemeClr val="accent2"/>
        </a:solidFill>
      </xdr:grpSpPr>
      <xdr:sp macro="" textlink="">
        <xdr:nvSpPr>
          <xdr:cNvPr id="48" name="Rectangle: Rounded Corners 47">
            <a:extLst>
              <a:ext uri="{FF2B5EF4-FFF2-40B4-BE49-F238E27FC236}">
                <a16:creationId xmlns:a16="http://schemas.microsoft.com/office/drawing/2014/main" id="{7C50DEF6-631C-765C-3FCA-2E32C0B52006}"/>
              </a:ext>
            </a:extLst>
          </xdr:cNvPr>
          <xdr:cNvSpPr/>
        </xdr:nvSpPr>
        <xdr:spPr>
          <a:xfrm>
            <a:off x="892971" y="1700890"/>
            <a:ext cx="2521630" cy="2513921"/>
          </a:xfrm>
          <a:prstGeom prst="roundRect">
            <a:avLst>
              <a:gd name="adj" fmla="val 9032"/>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9" name="TextBox 48">
            <a:extLst>
              <a:ext uri="{FF2B5EF4-FFF2-40B4-BE49-F238E27FC236}">
                <a16:creationId xmlns:a16="http://schemas.microsoft.com/office/drawing/2014/main" id="{B69F82E3-A804-416A-3675-F2C9AA7507A1}"/>
              </a:ext>
            </a:extLst>
          </xdr:cNvPr>
          <xdr:cNvSpPr txBox="1"/>
        </xdr:nvSpPr>
        <xdr:spPr>
          <a:xfrm>
            <a:off x="947398" y="1864176"/>
            <a:ext cx="2286116" cy="39188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Segoe UI Black" panose="020B0A02040204020203" pitchFamily="34" charset="0"/>
                <a:ea typeface="Segoe UI Black" panose="020B0A02040204020203" pitchFamily="34" charset="0"/>
                <a:cs typeface="Segoe UI" panose="020B0502040204020203" pitchFamily="34" charset="0"/>
              </a:rPr>
              <a:t>Risk above tolerance</a:t>
            </a:r>
          </a:p>
        </xdr:txBody>
      </xdr:sp>
      <xdr:sp macro="" textlink="">
        <xdr:nvSpPr>
          <xdr:cNvPr id="50" name="TextBox 49">
            <a:extLst>
              <a:ext uri="{FF2B5EF4-FFF2-40B4-BE49-F238E27FC236}">
                <a16:creationId xmlns:a16="http://schemas.microsoft.com/office/drawing/2014/main" id="{F626814A-98DA-8C37-C27D-FE5D588E4954}"/>
              </a:ext>
            </a:extLst>
          </xdr:cNvPr>
          <xdr:cNvSpPr txBox="1"/>
        </xdr:nvSpPr>
        <xdr:spPr>
          <a:xfrm>
            <a:off x="961006" y="2177140"/>
            <a:ext cx="2432275" cy="34018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rPr>
              <a:t>%</a:t>
            </a:r>
            <a:r>
              <a:rPr lang="en-US" sz="1100" b="0" baseline="0">
                <a:solidFill>
                  <a:schemeClr val="bg1"/>
                </a:solidFill>
                <a:latin typeface="Segoe UI" panose="020B0502040204020203" pitchFamily="34" charset="0"/>
                <a:ea typeface="Segoe UI Black" panose="020B0A02040204020203" pitchFamily="34" charset="0"/>
                <a:cs typeface="Segoe UI" panose="020B0502040204020203" pitchFamily="34" charset="0"/>
              </a:rPr>
              <a:t> of risks that exceed the tolerance level</a:t>
            </a:r>
            <a:endPar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xnSp macro="">
        <xdr:nvCxnSpPr>
          <xdr:cNvPr id="51" name="Straight Connector 50">
            <a:extLst>
              <a:ext uri="{FF2B5EF4-FFF2-40B4-BE49-F238E27FC236}">
                <a16:creationId xmlns:a16="http://schemas.microsoft.com/office/drawing/2014/main" id="{91F4EF14-FD11-1C4A-2067-DD36DAB7F88F}"/>
              </a:ext>
            </a:extLst>
          </xdr:cNvPr>
          <xdr:cNvCxnSpPr/>
        </xdr:nvCxnSpPr>
        <xdr:spPr>
          <a:xfrm>
            <a:off x="1022300" y="2509630"/>
            <a:ext cx="2289402" cy="2589"/>
          </a:xfrm>
          <a:prstGeom prst="line">
            <a:avLst/>
          </a:prstGeom>
          <a:grpFill/>
          <a:ln>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RiskPivots!F64">
        <xdr:nvSpPr>
          <xdr:cNvPr id="52" name="percent_compliance">
            <a:extLst>
              <a:ext uri="{FF2B5EF4-FFF2-40B4-BE49-F238E27FC236}">
                <a16:creationId xmlns:a16="http://schemas.microsoft.com/office/drawing/2014/main" id="{93560452-6366-FF57-FD4D-97C01AE27B23}"/>
              </a:ext>
            </a:extLst>
          </xdr:cNvPr>
          <xdr:cNvSpPr txBox="1"/>
        </xdr:nvSpPr>
        <xdr:spPr>
          <a:xfrm>
            <a:off x="1037842" y="2734037"/>
            <a:ext cx="2252262" cy="102053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D8F480-B4F4-44FF-9345-65C5E8F40614}" type="TxLink">
              <a:rPr lang="en-US" sz="6600" b="1" i="0" u="none" strike="noStrike">
                <a:solidFill>
                  <a:schemeClr val="bg1"/>
                </a:solidFill>
                <a:latin typeface="Segoe UI Black" panose="020B0A02040204020203" pitchFamily="34" charset="0"/>
                <a:ea typeface="Segoe UI Black" panose="020B0A02040204020203" pitchFamily="34" charset="0"/>
                <a:cs typeface="Calibri"/>
              </a:rPr>
              <a:pPr marL="0" indent="0" algn="ctr"/>
              <a:t>85%</a:t>
            </a:fld>
            <a:endParaRPr lang="en-US" sz="6600" b="0">
              <a:solidFill>
                <a:schemeClr val="bg1"/>
              </a:solidFill>
              <a:latin typeface="Segoe UI Black" panose="020B0A02040204020203" pitchFamily="34" charset="0"/>
              <a:ea typeface="Segoe UI Black" panose="020B0A02040204020203" pitchFamily="34" charset="0"/>
              <a:cs typeface="Segoe UI" panose="020B0502040204020203" pitchFamily="34" charset="0"/>
            </a:endParaRPr>
          </a:p>
        </xdr:txBody>
      </xdr:sp>
    </xdr:grpSp>
    <xdr:clientData/>
  </xdr:twoCellAnchor>
  <xdr:twoCellAnchor editAs="absolute">
    <xdr:from>
      <xdr:col>17</xdr:col>
      <xdr:colOff>601435</xdr:colOff>
      <xdr:row>7</xdr:row>
      <xdr:rowOff>111577</xdr:rowOff>
    </xdr:from>
    <xdr:to>
      <xdr:col>22</xdr:col>
      <xdr:colOff>571499</xdr:colOff>
      <xdr:row>20</xdr:row>
      <xdr:rowOff>148998</xdr:rowOff>
    </xdr:to>
    <xdr:grpSp>
      <xdr:nvGrpSpPr>
        <xdr:cNvPr id="57" name="Group 56">
          <a:extLst>
            <a:ext uri="{FF2B5EF4-FFF2-40B4-BE49-F238E27FC236}">
              <a16:creationId xmlns:a16="http://schemas.microsoft.com/office/drawing/2014/main" id="{CDD7C690-D838-1E3E-CD68-3C965874CAF4}"/>
            </a:ext>
          </a:extLst>
        </xdr:cNvPr>
        <xdr:cNvGrpSpPr/>
      </xdr:nvGrpSpPr>
      <xdr:grpSpPr>
        <a:xfrm>
          <a:off x="11288485" y="1445077"/>
          <a:ext cx="3018064" cy="2513921"/>
          <a:chOff x="892971" y="1700890"/>
          <a:chExt cx="2521630" cy="2513921"/>
        </a:xfrm>
      </xdr:grpSpPr>
      <xdr:sp macro="" textlink="">
        <xdr:nvSpPr>
          <xdr:cNvPr id="58" name="Rectangle: Rounded Corners 57">
            <a:extLst>
              <a:ext uri="{FF2B5EF4-FFF2-40B4-BE49-F238E27FC236}">
                <a16:creationId xmlns:a16="http://schemas.microsoft.com/office/drawing/2014/main" id="{11887F73-8817-C678-122D-3E504132A7D2}"/>
              </a:ext>
            </a:extLst>
          </xdr:cNvPr>
          <xdr:cNvSpPr/>
        </xdr:nvSpPr>
        <xdr:spPr>
          <a:xfrm>
            <a:off x="892971" y="1700890"/>
            <a:ext cx="2521630" cy="2513921"/>
          </a:xfrm>
          <a:prstGeom prst="roundRect">
            <a:avLst>
              <a:gd name="adj" fmla="val 9032"/>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59" name="TextBox 58">
            <a:extLst>
              <a:ext uri="{FF2B5EF4-FFF2-40B4-BE49-F238E27FC236}">
                <a16:creationId xmlns:a16="http://schemas.microsoft.com/office/drawing/2014/main" id="{A5D0862F-0E4E-C6D3-EAA3-F9AD65BD806D}"/>
              </a:ext>
            </a:extLst>
          </xdr:cNvPr>
          <xdr:cNvSpPr txBox="1"/>
        </xdr:nvSpPr>
        <xdr:spPr>
          <a:xfrm>
            <a:off x="947398" y="1864176"/>
            <a:ext cx="2286116" cy="391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Segoe UI Black" panose="020B0A02040204020203" pitchFamily="34" charset="0"/>
                <a:ea typeface="Segoe UI Black" panose="020B0A02040204020203" pitchFamily="34" charset="0"/>
                <a:cs typeface="Segoe UI" panose="020B0502040204020203" pitchFamily="34" charset="0"/>
              </a:rPr>
              <a:t>Accepted Risks</a:t>
            </a:r>
          </a:p>
        </xdr:txBody>
      </xdr:sp>
      <xdr:sp macro="" textlink="">
        <xdr:nvSpPr>
          <xdr:cNvPr id="60" name="TextBox 59">
            <a:extLst>
              <a:ext uri="{FF2B5EF4-FFF2-40B4-BE49-F238E27FC236}">
                <a16:creationId xmlns:a16="http://schemas.microsoft.com/office/drawing/2014/main" id="{3E678E0B-CE09-0C3E-FC3F-230B184C0C20}"/>
              </a:ext>
            </a:extLst>
          </xdr:cNvPr>
          <xdr:cNvSpPr txBox="1"/>
        </xdr:nvSpPr>
        <xdr:spPr>
          <a:xfrm>
            <a:off x="961006" y="2177140"/>
            <a:ext cx="2432275" cy="34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rPr>
              <a:t>Percentage of risks</a:t>
            </a:r>
            <a:r>
              <a:rPr lang="en-US" sz="1100" b="0" baseline="0">
                <a:solidFill>
                  <a:schemeClr val="bg1"/>
                </a:solidFill>
                <a:latin typeface="Segoe UI" panose="020B0502040204020203" pitchFamily="34" charset="0"/>
                <a:ea typeface="Segoe UI Black" panose="020B0A02040204020203" pitchFamily="34" charset="0"/>
                <a:cs typeface="Segoe UI" panose="020B0502040204020203" pitchFamily="34" charset="0"/>
              </a:rPr>
              <a:t> that have been accepted</a:t>
            </a:r>
            <a:endPar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xnSp macro="">
        <xdr:nvCxnSpPr>
          <xdr:cNvPr id="61" name="Straight Connector 60">
            <a:extLst>
              <a:ext uri="{FF2B5EF4-FFF2-40B4-BE49-F238E27FC236}">
                <a16:creationId xmlns:a16="http://schemas.microsoft.com/office/drawing/2014/main" id="{A4CFDB0B-D48D-9F8A-49E7-BF1273E06776}"/>
              </a:ext>
            </a:extLst>
          </xdr:cNvPr>
          <xdr:cNvCxnSpPr/>
        </xdr:nvCxnSpPr>
        <xdr:spPr>
          <a:xfrm>
            <a:off x="1022300" y="2509630"/>
            <a:ext cx="2289402" cy="25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RiskPivots!C115">
        <xdr:nvSpPr>
          <xdr:cNvPr id="62" name="percent_compliance">
            <a:extLst>
              <a:ext uri="{FF2B5EF4-FFF2-40B4-BE49-F238E27FC236}">
                <a16:creationId xmlns:a16="http://schemas.microsoft.com/office/drawing/2014/main" id="{343466BC-1202-60B5-C6C8-8DD24355F569}"/>
              </a:ext>
            </a:extLst>
          </xdr:cNvPr>
          <xdr:cNvSpPr txBox="1"/>
        </xdr:nvSpPr>
        <xdr:spPr>
          <a:xfrm>
            <a:off x="1162338" y="2734037"/>
            <a:ext cx="2014588" cy="102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6D1DF39-C396-4E43-BA55-CDF38F199D57}" type="TxLink">
              <a:rPr lang="en-US" sz="6600" b="0" i="0" u="none" strike="noStrike">
                <a:solidFill>
                  <a:schemeClr val="bg1"/>
                </a:solidFill>
                <a:latin typeface="Segoe UI Black" panose="020B0A02040204020203" pitchFamily="34" charset="0"/>
                <a:ea typeface="Segoe UI Black" panose="020B0A02040204020203" pitchFamily="34" charset="0"/>
                <a:cs typeface="Calibri"/>
              </a:rPr>
              <a:pPr marL="0" indent="0" algn="ctr"/>
              <a:t>10%</a:t>
            </a:fld>
            <a:endParaRPr lang="en-US" sz="6600" b="0">
              <a:solidFill>
                <a:schemeClr val="bg1"/>
              </a:solidFill>
              <a:latin typeface="Segoe UI Black" panose="020B0A02040204020203" pitchFamily="34" charset="0"/>
              <a:ea typeface="Segoe UI Black" panose="020B0A02040204020203" pitchFamily="34" charset="0"/>
              <a:cs typeface="Segoe UI" panose="020B0502040204020203" pitchFamily="34" charset="0"/>
            </a:endParaRPr>
          </a:p>
        </xdr:txBody>
      </xdr:sp>
    </xdr:grpSp>
    <xdr:clientData/>
  </xdr:twoCellAnchor>
  <xdr:twoCellAnchor editAs="absolute">
    <xdr:from>
      <xdr:col>23</xdr:col>
      <xdr:colOff>465365</xdr:colOff>
      <xdr:row>7</xdr:row>
      <xdr:rowOff>125183</xdr:rowOff>
    </xdr:from>
    <xdr:to>
      <xdr:col>28</xdr:col>
      <xdr:colOff>435429</xdr:colOff>
      <xdr:row>20</xdr:row>
      <xdr:rowOff>162604</xdr:rowOff>
    </xdr:to>
    <xdr:grpSp>
      <xdr:nvGrpSpPr>
        <xdr:cNvPr id="69" name="Group 68">
          <a:extLst>
            <a:ext uri="{FF2B5EF4-FFF2-40B4-BE49-F238E27FC236}">
              <a16:creationId xmlns:a16="http://schemas.microsoft.com/office/drawing/2014/main" id="{40D4A8C0-DE3F-F355-B021-455C2977B9C3}"/>
            </a:ext>
          </a:extLst>
        </xdr:cNvPr>
        <xdr:cNvGrpSpPr/>
      </xdr:nvGrpSpPr>
      <xdr:grpSpPr>
        <a:xfrm>
          <a:off x="14810015" y="1458683"/>
          <a:ext cx="3018064" cy="2513921"/>
          <a:chOff x="892971" y="1700890"/>
          <a:chExt cx="2521630" cy="2513921"/>
        </a:xfrm>
        <a:solidFill>
          <a:schemeClr val="accent2"/>
        </a:solidFill>
      </xdr:grpSpPr>
      <xdr:sp macro="" textlink="">
        <xdr:nvSpPr>
          <xdr:cNvPr id="70" name="Rectangle: Rounded Corners 69">
            <a:extLst>
              <a:ext uri="{FF2B5EF4-FFF2-40B4-BE49-F238E27FC236}">
                <a16:creationId xmlns:a16="http://schemas.microsoft.com/office/drawing/2014/main" id="{A74A0664-8119-F65D-A761-FBCA3C180B67}"/>
              </a:ext>
            </a:extLst>
          </xdr:cNvPr>
          <xdr:cNvSpPr/>
        </xdr:nvSpPr>
        <xdr:spPr>
          <a:xfrm>
            <a:off x="892971" y="1700890"/>
            <a:ext cx="2521630" cy="2513921"/>
          </a:xfrm>
          <a:prstGeom prst="roundRect">
            <a:avLst>
              <a:gd name="adj" fmla="val 9032"/>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1" name="TextBox 70">
            <a:extLst>
              <a:ext uri="{FF2B5EF4-FFF2-40B4-BE49-F238E27FC236}">
                <a16:creationId xmlns:a16="http://schemas.microsoft.com/office/drawing/2014/main" id="{CC3D0E85-EB83-0989-7BEC-1C7CB8B3586A}"/>
              </a:ext>
            </a:extLst>
          </xdr:cNvPr>
          <xdr:cNvSpPr txBox="1"/>
        </xdr:nvSpPr>
        <xdr:spPr>
          <a:xfrm>
            <a:off x="947398" y="1864176"/>
            <a:ext cx="2286116" cy="39188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Segoe UI Black" panose="020B0A02040204020203" pitchFamily="34" charset="0"/>
                <a:ea typeface="Segoe UI Black" panose="020B0A02040204020203" pitchFamily="34" charset="0"/>
                <a:cs typeface="Segoe UI" panose="020B0502040204020203" pitchFamily="34" charset="0"/>
              </a:rPr>
              <a:t>Overdue Risks</a:t>
            </a:r>
          </a:p>
        </xdr:txBody>
      </xdr:sp>
      <xdr:sp macro="" textlink="">
        <xdr:nvSpPr>
          <xdr:cNvPr id="72" name="TextBox 71">
            <a:extLst>
              <a:ext uri="{FF2B5EF4-FFF2-40B4-BE49-F238E27FC236}">
                <a16:creationId xmlns:a16="http://schemas.microsoft.com/office/drawing/2014/main" id="{5D112397-B051-E358-76F8-9B79373E0F2D}"/>
              </a:ext>
            </a:extLst>
          </xdr:cNvPr>
          <xdr:cNvSpPr txBox="1"/>
        </xdr:nvSpPr>
        <xdr:spPr>
          <a:xfrm>
            <a:off x="961006" y="2177140"/>
            <a:ext cx="2432275" cy="34018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rPr>
              <a:t>Number of risks</a:t>
            </a:r>
            <a:r>
              <a:rPr lang="en-US" sz="1100" b="0" baseline="0">
                <a:solidFill>
                  <a:schemeClr val="bg1"/>
                </a:solidFill>
                <a:latin typeface="Segoe UI" panose="020B0502040204020203" pitchFamily="34" charset="0"/>
                <a:ea typeface="Segoe UI Black" panose="020B0A02040204020203" pitchFamily="34" charset="0"/>
                <a:cs typeface="Segoe UI" panose="020B0502040204020203" pitchFamily="34" charset="0"/>
              </a:rPr>
              <a:t> that are overdue</a:t>
            </a:r>
            <a:endPar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xnSp macro="">
        <xdr:nvCxnSpPr>
          <xdr:cNvPr id="73" name="Straight Connector 72">
            <a:extLst>
              <a:ext uri="{FF2B5EF4-FFF2-40B4-BE49-F238E27FC236}">
                <a16:creationId xmlns:a16="http://schemas.microsoft.com/office/drawing/2014/main" id="{71B57633-AE62-B239-38E3-7DF6F2A5C4C9}"/>
              </a:ext>
            </a:extLst>
          </xdr:cNvPr>
          <xdr:cNvCxnSpPr/>
        </xdr:nvCxnSpPr>
        <xdr:spPr>
          <a:xfrm>
            <a:off x="1022300" y="2509630"/>
            <a:ext cx="2289402" cy="2589"/>
          </a:xfrm>
          <a:prstGeom prst="line">
            <a:avLst/>
          </a:prstGeom>
          <a:grpFill/>
          <a:ln>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RiskPivots!F126">
        <xdr:nvSpPr>
          <xdr:cNvPr id="74" name="percent_compliance">
            <a:extLst>
              <a:ext uri="{FF2B5EF4-FFF2-40B4-BE49-F238E27FC236}">
                <a16:creationId xmlns:a16="http://schemas.microsoft.com/office/drawing/2014/main" id="{E9421647-BD09-7480-8B33-8D7229E72009}"/>
              </a:ext>
            </a:extLst>
          </xdr:cNvPr>
          <xdr:cNvSpPr txBox="1"/>
        </xdr:nvSpPr>
        <xdr:spPr>
          <a:xfrm>
            <a:off x="1162338" y="2734037"/>
            <a:ext cx="2014588" cy="102053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710F4F-BC43-4C5F-9B61-FBAE5DFC0A37}" type="TxLink">
              <a:rPr lang="en-US" sz="6600" b="0" i="0" u="none" strike="noStrike">
                <a:solidFill>
                  <a:schemeClr val="bg1"/>
                </a:solidFill>
                <a:latin typeface="Segoe UI Black" panose="020B0A02040204020203" pitchFamily="34" charset="0"/>
                <a:ea typeface="Segoe UI Black" panose="020B0A02040204020203" pitchFamily="34" charset="0"/>
                <a:cs typeface="Calibri"/>
              </a:rPr>
              <a:pPr marL="0" indent="0" algn="ctr"/>
              <a:t>12</a:t>
            </a:fld>
            <a:endParaRPr lang="en-US" sz="6600" b="0" i="0" u="none" strike="noStrike">
              <a:solidFill>
                <a:schemeClr val="bg1"/>
              </a:solidFill>
              <a:latin typeface="Segoe UI Black" panose="020B0A02040204020203" pitchFamily="34" charset="0"/>
              <a:ea typeface="Segoe UI Black" panose="020B0A02040204020203" pitchFamily="34" charset="0"/>
              <a:cs typeface="Calibri"/>
            </a:endParaRPr>
          </a:p>
        </xdr:txBody>
      </xdr:sp>
    </xdr:grpSp>
    <xdr:clientData/>
  </xdr:twoCellAnchor>
  <xdr:twoCellAnchor editAs="absolute">
    <xdr:from>
      <xdr:col>14</xdr:col>
      <xdr:colOff>565562</xdr:colOff>
      <xdr:row>54</xdr:row>
      <xdr:rowOff>12367</xdr:rowOff>
    </xdr:from>
    <xdr:to>
      <xdr:col>28</xdr:col>
      <xdr:colOff>394854</xdr:colOff>
      <xdr:row>84</xdr:row>
      <xdr:rowOff>117764</xdr:rowOff>
    </xdr:to>
    <xdr:grpSp>
      <xdr:nvGrpSpPr>
        <xdr:cNvPr id="5" name="Group 4">
          <a:extLst>
            <a:ext uri="{FF2B5EF4-FFF2-40B4-BE49-F238E27FC236}">
              <a16:creationId xmlns:a16="http://schemas.microsoft.com/office/drawing/2014/main" id="{5D81056B-2AE1-0006-7B5D-54D182B79F8F}"/>
            </a:ext>
          </a:extLst>
        </xdr:cNvPr>
        <xdr:cNvGrpSpPr/>
      </xdr:nvGrpSpPr>
      <xdr:grpSpPr>
        <a:xfrm>
          <a:off x="9423812" y="10299367"/>
          <a:ext cx="8363692" cy="5820397"/>
          <a:chOff x="9212032" y="4327069"/>
          <a:chExt cx="7905752" cy="5820397"/>
        </a:xfrm>
      </xdr:grpSpPr>
      <xdr:grpSp>
        <xdr:nvGrpSpPr>
          <xdr:cNvPr id="63" name="Group 62">
            <a:extLst>
              <a:ext uri="{FF2B5EF4-FFF2-40B4-BE49-F238E27FC236}">
                <a16:creationId xmlns:a16="http://schemas.microsoft.com/office/drawing/2014/main" id="{B16C4865-2813-7F35-0DB3-9DB132B3BF6B}"/>
              </a:ext>
            </a:extLst>
          </xdr:cNvPr>
          <xdr:cNvGrpSpPr/>
        </xdr:nvGrpSpPr>
        <xdr:grpSpPr>
          <a:xfrm>
            <a:off x="9212032" y="4327069"/>
            <a:ext cx="7905752" cy="5820397"/>
            <a:chOff x="4942746" y="1700891"/>
            <a:chExt cx="5133573" cy="5820397"/>
          </a:xfrm>
        </xdr:grpSpPr>
        <xdr:sp macro="" textlink="">
          <xdr:nvSpPr>
            <xdr:cNvPr id="64" name="Rectangle: Rounded Corners 63">
              <a:extLst>
                <a:ext uri="{FF2B5EF4-FFF2-40B4-BE49-F238E27FC236}">
                  <a16:creationId xmlns:a16="http://schemas.microsoft.com/office/drawing/2014/main" id="{0D287602-A3AB-9FF4-6AD6-41B53F169C5A}"/>
                </a:ext>
              </a:extLst>
            </xdr:cNvPr>
            <xdr:cNvSpPr/>
          </xdr:nvSpPr>
          <xdr:spPr>
            <a:xfrm>
              <a:off x="4942746" y="1700891"/>
              <a:ext cx="5133573" cy="5820397"/>
            </a:xfrm>
            <a:prstGeom prst="roundRect">
              <a:avLst>
                <a:gd name="adj" fmla="val 6006"/>
              </a:avLst>
            </a:prstGeom>
            <a:solidFill>
              <a:srgbClr val="F5F5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TextBox 65">
              <a:extLst>
                <a:ext uri="{FF2B5EF4-FFF2-40B4-BE49-F238E27FC236}">
                  <a16:creationId xmlns:a16="http://schemas.microsoft.com/office/drawing/2014/main" id="{B18E3264-E5B1-A1F3-3CAF-4C0971AD5B75}"/>
                </a:ext>
              </a:extLst>
            </xdr:cNvPr>
            <xdr:cNvSpPr txBox="1"/>
          </xdr:nvSpPr>
          <xdr:spPr>
            <a:xfrm>
              <a:off x="5039941" y="1870979"/>
              <a:ext cx="3744874"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2">
                      <a:lumMod val="75000"/>
                    </a:schemeClr>
                  </a:solidFill>
                  <a:latin typeface="Segoe UI Black" panose="020B0A02040204020203" pitchFamily="34" charset="0"/>
                  <a:ea typeface="Segoe UI Black" panose="020B0A02040204020203" pitchFamily="34" charset="0"/>
                </a:rPr>
                <a:t>Risk Categories</a:t>
              </a:r>
            </a:p>
          </xdr:txBody>
        </xdr:sp>
        <xdr:cxnSp macro="">
          <xdr:nvCxnSpPr>
            <xdr:cNvPr id="67" name="Straight Connector 66">
              <a:extLst>
                <a:ext uri="{FF2B5EF4-FFF2-40B4-BE49-F238E27FC236}">
                  <a16:creationId xmlns:a16="http://schemas.microsoft.com/office/drawing/2014/main" id="{EC7D4E2A-F71A-8C3B-1DBA-4929A6990278}"/>
                </a:ext>
              </a:extLst>
            </xdr:cNvPr>
            <xdr:cNvCxnSpPr/>
          </xdr:nvCxnSpPr>
          <xdr:spPr>
            <a:xfrm flipV="1">
              <a:off x="5140114" y="2604879"/>
              <a:ext cx="4631348" cy="3922"/>
            </a:xfrm>
            <a:prstGeom prst="line">
              <a:avLst/>
            </a:prstGeom>
            <a:ln>
              <a:solidFill>
                <a:srgbClr val="252B42"/>
              </a:solidFill>
            </a:ln>
          </xdr:spPr>
          <xdr:style>
            <a:lnRef idx="1">
              <a:schemeClr val="accent1"/>
            </a:lnRef>
            <a:fillRef idx="0">
              <a:schemeClr val="accent1"/>
            </a:fillRef>
            <a:effectRef idx="0">
              <a:schemeClr val="accent1"/>
            </a:effectRef>
            <a:fontRef idx="minor">
              <a:schemeClr val="tx1"/>
            </a:fontRef>
          </xdr:style>
        </xdr:cxnSp>
        <xdr:sp macro="" textlink="">
          <xdr:nvSpPr>
            <xdr:cNvPr id="68" name="TextBox 67">
              <a:extLst>
                <a:ext uri="{FF2B5EF4-FFF2-40B4-BE49-F238E27FC236}">
                  <a16:creationId xmlns:a16="http://schemas.microsoft.com/office/drawing/2014/main" id="{9E8F2058-0268-A767-87BA-C007AC6EB777}"/>
                </a:ext>
              </a:extLst>
            </xdr:cNvPr>
            <xdr:cNvSpPr txBox="1"/>
          </xdr:nvSpPr>
          <xdr:spPr>
            <a:xfrm>
              <a:off x="5057143" y="2256046"/>
              <a:ext cx="2889760"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Shows the count of active</a:t>
              </a:r>
              <a:r>
                <a:rPr lang="en-US" sz="1100" b="0" baseline="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 risks under each Category</a:t>
              </a:r>
              <a:endParaRPr lang="en-US" sz="1100" b="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endParaRPr>
            </a:p>
          </xdr:txBody>
        </xdr:sp>
      </xdr:grpSp>
      <xdr:graphicFrame macro="">
        <xdr:nvGraphicFramePr>
          <xdr:cNvPr id="2" name="Chart 1">
            <a:extLst>
              <a:ext uri="{FF2B5EF4-FFF2-40B4-BE49-F238E27FC236}">
                <a16:creationId xmlns:a16="http://schemas.microsoft.com/office/drawing/2014/main" id="{BA0537C7-91C7-4185-9787-AE1F383F1A6B}"/>
              </a:ext>
            </a:extLst>
          </xdr:cNvPr>
          <xdr:cNvGraphicFramePr>
            <a:graphicFrameLocks/>
          </xdr:cNvGraphicFramePr>
        </xdr:nvGraphicFramePr>
        <xdr:xfrm>
          <a:off x="9878782" y="5551711"/>
          <a:ext cx="7170968" cy="4150181"/>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16</xdr:col>
      <xdr:colOff>149678</xdr:colOff>
      <xdr:row>87</xdr:row>
      <xdr:rowOff>68036</xdr:rowOff>
    </xdr:from>
    <xdr:to>
      <xdr:col>28</xdr:col>
      <xdr:colOff>408215</xdr:colOff>
      <xdr:row>104</xdr:row>
      <xdr:rowOff>27216</xdr:rowOff>
    </xdr:to>
    <xdr:grpSp>
      <xdr:nvGrpSpPr>
        <xdr:cNvPr id="41" name="Group 40">
          <a:extLst>
            <a:ext uri="{FF2B5EF4-FFF2-40B4-BE49-F238E27FC236}">
              <a16:creationId xmlns:a16="http://schemas.microsoft.com/office/drawing/2014/main" id="{5D86D5B0-F91F-0D00-6457-6CD5DAF47FD0}"/>
            </a:ext>
          </a:extLst>
        </xdr:cNvPr>
        <xdr:cNvGrpSpPr/>
      </xdr:nvGrpSpPr>
      <xdr:grpSpPr>
        <a:xfrm>
          <a:off x="10227128" y="16641536"/>
          <a:ext cx="7573737" cy="5493205"/>
          <a:chOff x="10246178" y="10355036"/>
          <a:chExt cx="7573737" cy="5674180"/>
        </a:xfrm>
      </xdr:grpSpPr>
      <xdr:grpSp>
        <xdr:nvGrpSpPr>
          <xdr:cNvPr id="21" name="Group 20">
            <a:extLst>
              <a:ext uri="{FF2B5EF4-FFF2-40B4-BE49-F238E27FC236}">
                <a16:creationId xmlns:a16="http://schemas.microsoft.com/office/drawing/2014/main" id="{4B65C639-F34C-AF5D-9C68-BE441387D405}"/>
              </a:ext>
            </a:extLst>
          </xdr:cNvPr>
          <xdr:cNvGrpSpPr/>
        </xdr:nvGrpSpPr>
        <xdr:grpSpPr>
          <a:xfrm>
            <a:off x="10246178" y="10355036"/>
            <a:ext cx="7573737" cy="5674180"/>
            <a:chOff x="4942746" y="1700892"/>
            <a:chExt cx="5133573" cy="4887391"/>
          </a:xfrm>
        </xdr:grpSpPr>
        <xdr:sp macro="" textlink="">
          <xdr:nvSpPr>
            <xdr:cNvPr id="36" name="Rectangle: Rounded Corners 35">
              <a:extLst>
                <a:ext uri="{FF2B5EF4-FFF2-40B4-BE49-F238E27FC236}">
                  <a16:creationId xmlns:a16="http://schemas.microsoft.com/office/drawing/2014/main" id="{1A194975-2002-5DD3-641B-2AB5443CF5CD}"/>
                </a:ext>
              </a:extLst>
            </xdr:cNvPr>
            <xdr:cNvSpPr/>
          </xdr:nvSpPr>
          <xdr:spPr>
            <a:xfrm>
              <a:off x="4942746" y="1700892"/>
              <a:ext cx="5133573" cy="4887391"/>
            </a:xfrm>
            <a:prstGeom prst="roundRect">
              <a:avLst>
                <a:gd name="adj" fmla="val 6006"/>
              </a:avLst>
            </a:prstGeom>
            <a:solidFill>
              <a:srgbClr val="F5F5FC"/>
            </a:solidFill>
            <a:ln>
              <a:solidFill>
                <a:srgbClr val="252B4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36">
              <a:extLst>
                <a:ext uri="{FF2B5EF4-FFF2-40B4-BE49-F238E27FC236}">
                  <a16:creationId xmlns:a16="http://schemas.microsoft.com/office/drawing/2014/main" id="{5B31E161-6CD3-9CA4-058D-B429C284EE87}"/>
                </a:ext>
              </a:extLst>
            </xdr:cNvPr>
            <xdr:cNvSpPr txBox="1"/>
          </xdr:nvSpPr>
          <xdr:spPr>
            <a:xfrm>
              <a:off x="5039941" y="1870979"/>
              <a:ext cx="3744874" cy="367395"/>
            </a:xfrm>
            <a:prstGeom prst="rect">
              <a:avLst/>
            </a:prstGeom>
            <a:noFill/>
            <a:ln w="9525" cmpd="sng">
              <a:solidFill>
                <a:srgbClr val="252B4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2">
                      <a:lumMod val="75000"/>
                    </a:schemeClr>
                  </a:solidFill>
                  <a:latin typeface="Segoe UI Black" panose="020B0A02040204020203" pitchFamily="34" charset="0"/>
                  <a:ea typeface="Segoe UI Black" panose="020B0A02040204020203" pitchFamily="34" charset="0"/>
                </a:rPr>
                <a:t>New risks reported</a:t>
              </a:r>
            </a:p>
          </xdr:txBody>
        </xdr:sp>
        <xdr:cxnSp macro="">
          <xdr:nvCxnSpPr>
            <xdr:cNvPr id="38" name="Straight Connector 37">
              <a:extLst>
                <a:ext uri="{FF2B5EF4-FFF2-40B4-BE49-F238E27FC236}">
                  <a16:creationId xmlns:a16="http://schemas.microsoft.com/office/drawing/2014/main" id="{6B5868BA-2B6A-5D9D-8A06-F4C3039189AA}"/>
                </a:ext>
              </a:extLst>
            </xdr:cNvPr>
            <xdr:cNvCxnSpPr/>
          </xdr:nvCxnSpPr>
          <xdr:spPr>
            <a:xfrm flipV="1">
              <a:off x="5112563" y="2604879"/>
              <a:ext cx="4631348" cy="3922"/>
            </a:xfrm>
            <a:prstGeom prst="line">
              <a:avLst/>
            </a:prstGeom>
            <a:ln>
              <a:solidFill>
                <a:srgbClr val="252B42"/>
              </a:solidFill>
            </a:ln>
          </xdr:spPr>
          <xdr:style>
            <a:lnRef idx="1">
              <a:schemeClr val="accent1"/>
            </a:lnRef>
            <a:fillRef idx="0">
              <a:schemeClr val="accent1"/>
            </a:fillRef>
            <a:effectRef idx="0">
              <a:schemeClr val="accent1"/>
            </a:effectRef>
            <a:fontRef idx="minor">
              <a:schemeClr val="tx1"/>
            </a:fontRef>
          </xdr:style>
        </xdr:cxnSp>
        <xdr:sp macro="" textlink="">
          <xdr:nvSpPr>
            <xdr:cNvPr id="39" name="TextBox 38">
              <a:extLst>
                <a:ext uri="{FF2B5EF4-FFF2-40B4-BE49-F238E27FC236}">
                  <a16:creationId xmlns:a16="http://schemas.microsoft.com/office/drawing/2014/main" id="{7DF314F6-0298-B6A3-1F63-5D7C641B4A11}"/>
                </a:ext>
              </a:extLst>
            </xdr:cNvPr>
            <xdr:cNvSpPr txBox="1"/>
          </xdr:nvSpPr>
          <xdr:spPr>
            <a:xfrm>
              <a:off x="5057143" y="2256046"/>
              <a:ext cx="2889760" cy="367395"/>
            </a:xfrm>
            <a:prstGeom prst="rect">
              <a:avLst/>
            </a:prstGeom>
            <a:noFill/>
            <a:ln w="9525" cmpd="sng">
              <a:solidFill>
                <a:srgbClr val="252B4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Risks</a:t>
              </a:r>
              <a:r>
                <a:rPr lang="en-US" sz="1100" b="0" baseline="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 reported per month</a:t>
              </a:r>
              <a:endParaRPr lang="en-US" sz="1100" b="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endParaRPr>
            </a:p>
          </xdr:txBody>
        </xdr:sp>
      </xdr:grpSp>
      <xdr:graphicFrame macro="">
        <xdr:nvGraphicFramePr>
          <xdr:cNvPr id="40" name="Chart 39">
            <a:extLst>
              <a:ext uri="{FF2B5EF4-FFF2-40B4-BE49-F238E27FC236}">
                <a16:creationId xmlns:a16="http://schemas.microsoft.com/office/drawing/2014/main" id="{F4074C0D-12C5-4B1A-82D4-D6282832AE60}"/>
              </a:ext>
            </a:extLst>
          </xdr:cNvPr>
          <xdr:cNvGraphicFramePr>
            <a:graphicFrameLocks/>
          </xdr:cNvGraphicFramePr>
        </xdr:nvGraphicFramePr>
        <xdr:xfrm>
          <a:off x="10531929" y="11585121"/>
          <a:ext cx="6855278" cy="4027713"/>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absolute">
    <xdr:from>
      <xdr:col>1</xdr:col>
      <xdr:colOff>238260</xdr:colOff>
      <xdr:row>21</xdr:row>
      <xdr:rowOff>138916</xdr:rowOff>
    </xdr:from>
    <xdr:to>
      <xdr:col>28</xdr:col>
      <xdr:colOff>398318</xdr:colOff>
      <xdr:row>52</xdr:row>
      <xdr:rowOff>30307</xdr:rowOff>
    </xdr:to>
    <xdr:grpSp>
      <xdr:nvGrpSpPr>
        <xdr:cNvPr id="54" name="Group 53">
          <a:extLst>
            <a:ext uri="{FF2B5EF4-FFF2-40B4-BE49-F238E27FC236}">
              <a16:creationId xmlns:a16="http://schemas.microsoft.com/office/drawing/2014/main" id="{DA4D04E3-389E-8A77-F284-CA40330C0D47}"/>
            </a:ext>
          </a:extLst>
        </xdr:cNvPr>
        <xdr:cNvGrpSpPr/>
      </xdr:nvGrpSpPr>
      <xdr:grpSpPr>
        <a:xfrm>
          <a:off x="847860" y="4139416"/>
          <a:ext cx="16943108" cy="5796891"/>
          <a:chOff x="844396" y="4167991"/>
          <a:chExt cx="16854786" cy="5796891"/>
        </a:xfrm>
      </xdr:grpSpPr>
      <xdr:grpSp>
        <xdr:nvGrpSpPr>
          <xdr:cNvPr id="42" name="Group 41">
            <a:extLst>
              <a:ext uri="{FF2B5EF4-FFF2-40B4-BE49-F238E27FC236}">
                <a16:creationId xmlns:a16="http://schemas.microsoft.com/office/drawing/2014/main" id="{14219B88-6D94-951C-491E-078B98119AD0}"/>
              </a:ext>
            </a:extLst>
          </xdr:cNvPr>
          <xdr:cNvGrpSpPr/>
        </xdr:nvGrpSpPr>
        <xdr:grpSpPr>
          <a:xfrm>
            <a:off x="844396" y="4167991"/>
            <a:ext cx="16854786" cy="5796891"/>
            <a:chOff x="4942746" y="1700891"/>
            <a:chExt cx="5133573" cy="5592537"/>
          </a:xfrm>
        </xdr:grpSpPr>
        <xdr:sp macro="" textlink="">
          <xdr:nvSpPr>
            <xdr:cNvPr id="43" name="Rectangle: Rounded Corners 42">
              <a:extLst>
                <a:ext uri="{FF2B5EF4-FFF2-40B4-BE49-F238E27FC236}">
                  <a16:creationId xmlns:a16="http://schemas.microsoft.com/office/drawing/2014/main" id="{E070F3FC-3DBA-E38A-7E39-CACE661B6231}"/>
                </a:ext>
              </a:extLst>
            </xdr:cNvPr>
            <xdr:cNvSpPr/>
          </xdr:nvSpPr>
          <xdr:spPr>
            <a:xfrm>
              <a:off x="4942746" y="1700891"/>
              <a:ext cx="5133573" cy="5592537"/>
            </a:xfrm>
            <a:prstGeom prst="roundRect">
              <a:avLst>
                <a:gd name="adj" fmla="val 6006"/>
              </a:avLst>
            </a:prstGeom>
            <a:solidFill>
              <a:srgbClr val="F5F5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TextBox 44">
              <a:extLst>
                <a:ext uri="{FF2B5EF4-FFF2-40B4-BE49-F238E27FC236}">
                  <a16:creationId xmlns:a16="http://schemas.microsoft.com/office/drawing/2014/main" id="{403C9A6E-6247-7818-375D-2F7F7414DF4A}"/>
                </a:ext>
              </a:extLst>
            </xdr:cNvPr>
            <xdr:cNvSpPr txBox="1"/>
          </xdr:nvSpPr>
          <xdr:spPr>
            <a:xfrm>
              <a:off x="5039941" y="1870979"/>
              <a:ext cx="1169720"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800000"/>
                  </a:solidFill>
                  <a:latin typeface="Segoe UI Black" panose="020B0A02040204020203" pitchFamily="34" charset="0"/>
                  <a:ea typeface="Segoe UI Black" panose="020B0A02040204020203" pitchFamily="34" charset="0"/>
                </a:rPr>
                <a:t>Average Risk Score</a:t>
              </a:r>
            </a:p>
          </xdr:txBody>
        </xdr:sp>
        <xdr:cxnSp macro="">
          <xdr:nvCxnSpPr>
            <xdr:cNvPr id="46" name="Straight Connector 45">
              <a:extLst>
                <a:ext uri="{FF2B5EF4-FFF2-40B4-BE49-F238E27FC236}">
                  <a16:creationId xmlns:a16="http://schemas.microsoft.com/office/drawing/2014/main" id="{CAA3652D-ABC9-E3D9-643E-0949D0048F33}"/>
                </a:ext>
              </a:extLst>
            </xdr:cNvPr>
            <xdr:cNvCxnSpPr/>
          </xdr:nvCxnSpPr>
          <xdr:spPr>
            <a:xfrm flipV="1">
              <a:off x="5039941" y="2604879"/>
              <a:ext cx="4909464" cy="3922"/>
            </a:xfrm>
            <a:prstGeom prst="line">
              <a:avLst/>
            </a:prstGeom>
            <a:ln>
              <a:solidFill>
                <a:srgbClr val="252B42"/>
              </a:solidFill>
            </a:ln>
          </xdr:spPr>
          <xdr:style>
            <a:lnRef idx="1">
              <a:schemeClr val="accent1"/>
            </a:lnRef>
            <a:fillRef idx="0">
              <a:schemeClr val="accent1"/>
            </a:fillRef>
            <a:effectRef idx="0">
              <a:schemeClr val="accent1"/>
            </a:effectRef>
            <a:fontRef idx="minor">
              <a:schemeClr val="tx1"/>
            </a:fontRef>
          </xdr:style>
        </xdr:cxnSp>
        <xdr:sp macro="" textlink="">
          <xdr:nvSpPr>
            <xdr:cNvPr id="53" name="TextBox 52">
              <a:extLst>
                <a:ext uri="{FF2B5EF4-FFF2-40B4-BE49-F238E27FC236}">
                  <a16:creationId xmlns:a16="http://schemas.microsoft.com/office/drawing/2014/main" id="{86AC65E2-1017-19A7-E9F6-DF0E7CC5CED4}"/>
                </a:ext>
              </a:extLst>
            </xdr:cNvPr>
            <xdr:cNvSpPr txBox="1"/>
          </xdr:nvSpPr>
          <xdr:spPr>
            <a:xfrm>
              <a:off x="5039941" y="2256046"/>
              <a:ext cx="2889760"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Shows</a:t>
              </a:r>
              <a:r>
                <a:rPr lang="en-US" sz="1100" b="0" baseline="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 the average of all risks, over a 12 month period</a:t>
              </a:r>
              <a:endParaRPr lang="en-US" sz="1100" b="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endParaRPr>
            </a:p>
          </xdr:txBody>
        </xdr:sp>
      </xdr:grpSp>
      <xdr:graphicFrame macro="">
        <xdr:nvGraphicFramePr>
          <xdr:cNvPr id="32" name="Chart 31">
            <a:extLst>
              <a:ext uri="{FF2B5EF4-FFF2-40B4-BE49-F238E27FC236}">
                <a16:creationId xmlns:a16="http://schemas.microsoft.com/office/drawing/2014/main" id="{6DEB1CD3-5A7C-4E36-BECE-5D0CE2D20179}"/>
              </a:ext>
            </a:extLst>
          </xdr:cNvPr>
          <xdr:cNvGraphicFramePr>
            <a:graphicFrameLocks/>
          </xdr:cNvGraphicFramePr>
        </xdr:nvGraphicFramePr>
        <xdr:xfrm>
          <a:off x="1281546" y="5403272"/>
          <a:ext cx="15880772" cy="403513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22411</xdr:rowOff>
    </xdr:from>
    <xdr:to>
      <xdr:col>29</xdr:col>
      <xdr:colOff>403412</xdr:colOff>
      <xdr:row>0</xdr:row>
      <xdr:rowOff>1287875</xdr:rowOff>
    </xdr:to>
    <xdr:grpSp>
      <xdr:nvGrpSpPr>
        <xdr:cNvPr id="14" name="Group 13">
          <a:extLst>
            <a:ext uri="{FF2B5EF4-FFF2-40B4-BE49-F238E27FC236}">
              <a16:creationId xmlns:a16="http://schemas.microsoft.com/office/drawing/2014/main" id="{D7916C4E-5C46-4072-9B6A-F595758DE356}"/>
            </a:ext>
          </a:extLst>
        </xdr:cNvPr>
        <xdr:cNvGrpSpPr>
          <a:grpSpLocks noChangeAspect="1"/>
        </xdr:cNvGrpSpPr>
      </xdr:nvGrpSpPr>
      <xdr:grpSpPr>
        <a:xfrm>
          <a:off x="1" y="22411"/>
          <a:ext cx="16345253" cy="1265464"/>
          <a:chOff x="13608" y="0"/>
          <a:chExt cx="16349382" cy="1265464"/>
        </a:xfrm>
        <a:solidFill>
          <a:schemeClr val="accent2">
            <a:lumMod val="75000"/>
          </a:schemeClr>
        </a:solidFill>
      </xdr:grpSpPr>
      <xdr:sp macro="" textlink="">
        <xdr:nvSpPr>
          <xdr:cNvPr id="15" name="Rectangle 14">
            <a:extLst>
              <a:ext uri="{FF2B5EF4-FFF2-40B4-BE49-F238E27FC236}">
                <a16:creationId xmlns:a16="http://schemas.microsoft.com/office/drawing/2014/main" id="{2A61B980-A8C0-A3BA-A987-525A4C495EDA}"/>
              </a:ext>
            </a:extLst>
          </xdr:cNvPr>
          <xdr:cNvSpPr/>
        </xdr:nvSpPr>
        <xdr:spPr>
          <a:xfrm>
            <a:off x="13608" y="0"/>
            <a:ext cx="16349382" cy="1265464"/>
          </a:xfrm>
          <a:prstGeom prst="rect">
            <a:avLst/>
          </a:prstGeom>
          <a:grp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kern="1200"/>
          </a:p>
        </xdr:txBody>
      </xdr:sp>
      <xdr:sp macro="" textlink="">
        <xdr:nvSpPr>
          <xdr:cNvPr id="16" name="Rectangle 15">
            <a:extLst>
              <a:ext uri="{FF2B5EF4-FFF2-40B4-BE49-F238E27FC236}">
                <a16:creationId xmlns:a16="http://schemas.microsoft.com/office/drawing/2014/main" id="{1EA81CF9-D4D3-B19F-98A6-9D90F72CD79C}"/>
              </a:ext>
            </a:extLst>
          </xdr:cNvPr>
          <xdr:cNvSpPr/>
        </xdr:nvSpPr>
        <xdr:spPr>
          <a:xfrm>
            <a:off x="3818796" y="121536"/>
            <a:ext cx="6005561" cy="94129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4800" b="1">
                <a:solidFill>
                  <a:sysClr val="windowText" lastClr="000000"/>
                </a:solidFill>
                <a:effectLst/>
                <a:latin typeface="Segoe UI" panose="020B0502040204020203" pitchFamily="34" charset="0"/>
                <a:ea typeface="+mn-ea"/>
                <a:cs typeface="Segoe UI" panose="020B0502040204020203" pitchFamily="34" charset="0"/>
              </a:rPr>
              <a:t>RISK GANTT CHART</a:t>
            </a:r>
            <a:endParaRPr lang="en-US" sz="4800" b="1">
              <a:solidFill>
                <a:sysClr val="windowText" lastClr="000000"/>
              </a:solidFill>
              <a:effectLst/>
              <a:latin typeface="Segoe UI" panose="020B0502040204020203" pitchFamily="34" charset="0"/>
              <a:cs typeface="Segoe UI" panose="020B0502040204020203" pitchFamily="34"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612321</xdr:colOff>
      <xdr:row>0</xdr:row>
      <xdr:rowOff>1265464</xdr:rowOff>
    </xdr:to>
    <xdr:grpSp>
      <xdr:nvGrpSpPr>
        <xdr:cNvPr id="5" name="Group 4">
          <a:extLst>
            <a:ext uri="{FF2B5EF4-FFF2-40B4-BE49-F238E27FC236}">
              <a16:creationId xmlns:a16="http://schemas.microsoft.com/office/drawing/2014/main" id="{47AF6B37-1B4B-4031-A50B-DE7A8A140582}"/>
            </a:ext>
          </a:extLst>
        </xdr:cNvPr>
        <xdr:cNvGrpSpPr>
          <a:grpSpLocks noChangeAspect="1"/>
        </xdr:cNvGrpSpPr>
      </xdr:nvGrpSpPr>
      <xdr:grpSpPr>
        <a:xfrm>
          <a:off x="0" y="0"/>
          <a:ext cx="18283997" cy="1265464"/>
          <a:chOff x="13607" y="0"/>
          <a:chExt cx="18301607" cy="1265464"/>
        </a:xfrm>
      </xdr:grpSpPr>
      <xdr:sp macro="" textlink="">
        <xdr:nvSpPr>
          <xdr:cNvPr id="6" name="Rectangle 5">
            <a:extLst>
              <a:ext uri="{FF2B5EF4-FFF2-40B4-BE49-F238E27FC236}">
                <a16:creationId xmlns:a16="http://schemas.microsoft.com/office/drawing/2014/main" id="{F762D1B0-413E-B2E9-D73C-C66B4513FE80}"/>
              </a:ext>
            </a:extLst>
          </xdr:cNvPr>
          <xdr:cNvSpPr/>
        </xdr:nvSpPr>
        <xdr:spPr>
          <a:xfrm>
            <a:off x="13607" y="0"/>
            <a:ext cx="18301607" cy="1265464"/>
          </a:xfrm>
          <a:prstGeom prst="rect">
            <a:avLst/>
          </a:prstGeom>
          <a:solidFill>
            <a:schemeClr val="accent2">
              <a:lumMod val="7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kern="1200"/>
          </a:p>
        </xdr:txBody>
      </xdr:sp>
      <xdr:sp macro="" textlink="">
        <xdr:nvSpPr>
          <xdr:cNvPr id="7" name="Rectangle 6">
            <a:extLst>
              <a:ext uri="{FF2B5EF4-FFF2-40B4-BE49-F238E27FC236}">
                <a16:creationId xmlns:a16="http://schemas.microsoft.com/office/drawing/2014/main" id="{97D669B4-F89E-4906-FE24-0A7FC44910B0}"/>
              </a:ext>
            </a:extLst>
          </xdr:cNvPr>
          <xdr:cNvSpPr/>
        </xdr:nvSpPr>
        <xdr:spPr>
          <a:xfrm>
            <a:off x="1673678" y="121536"/>
            <a:ext cx="8150679" cy="941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4800" b="1">
                <a:solidFill>
                  <a:sysClr val="windowText" lastClr="000000"/>
                </a:solidFill>
                <a:effectLst/>
                <a:latin typeface="Segoe UI" panose="020B0502040204020203" pitchFamily="34" charset="0"/>
                <a:ea typeface="+mn-ea"/>
                <a:cs typeface="Segoe UI" panose="020B0502040204020203" pitchFamily="34" charset="0"/>
              </a:rPr>
              <a:t>RISK REGISTER</a:t>
            </a:r>
            <a:endParaRPr lang="en-US" sz="4800" b="1">
              <a:solidFill>
                <a:sysClr val="windowText" lastClr="000000"/>
              </a:solidFill>
              <a:effectLst/>
              <a:latin typeface="Segoe UI" panose="020B0502040204020203" pitchFamily="34" charset="0"/>
              <a:cs typeface="Segoe UI"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858534</xdr:colOff>
      <xdr:row>0</xdr:row>
      <xdr:rowOff>1260421</xdr:rowOff>
    </xdr:to>
    <xdr:grpSp>
      <xdr:nvGrpSpPr>
        <xdr:cNvPr id="4" name="Group 3">
          <a:extLst>
            <a:ext uri="{FF2B5EF4-FFF2-40B4-BE49-F238E27FC236}">
              <a16:creationId xmlns:a16="http://schemas.microsoft.com/office/drawing/2014/main" id="{15A90FC3-C6ED-4177-BB90-0C702610EF88}"/>
            </a:ext>
          </a:extLst>
        </xdr:cNvPr>
        <xdr:cNvGrpSpPr>
          <a:grpSpLocks noChangeAspect="1"/>
        </xdr:cNvGrpSpPr>
      </xdr:nvGrpSpPr>
      <xdr:grpSpPr>
        <a:xfrm>
          <a:off x="0" y="0"/>
          <a:ext cx="11500557" cy="1260421"/>
          <a:chOff x="13607" y="0"/>
          <a:chExt cx="11519678" cy="1265464"/>
        </a:xfrm>
        <a:solidFill>
          <a:schemeClr val="accent2">
            <a:lumMod val="75000"/>
          </a:schemeClr>
        </a:solidFill>
      </xdr:grpSpPr>
      <xdr:sp macro="" textlink="">
        <xdr:nvSpPr>
          <xdr:cNvPr id="5" name="Rectangle 4">
            <a:extLst>
              <a:ext uri="{FF2B5EF4-FFF2-40B4-BE49-F238E27FC236}">
                <a16:creationId xmlns:a16="http://schemas.microsoft.com/office/drawing/2014/main" id="{D4B30F8D-3855-1FFE-21D2-8BF8252EE8CC}"/>
              </a:ext>
            </a:extLst>
          </xdr:cNvPr>
          <xdr:cNvSpPr/>
        </xdr:nvSpPr>
        <xdr:spPr>
          <a:xfrm>
            <a:off x="13607" y="0"/>
            <a:ext cx="11519678" cy="1265464"/>
          </a:xfrm>
          <a:prstGeom prst="rect">
            <a:avLst/>
          </a:prstGeom>
          <a:grp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kern="1200"/>
          </a:p>
        </xdr:txBody>
      </xdr:sp>
      <xdr:sp macro="" textlink="">
        <xdr:nvSpPr>
          <xdr:cNvPr id="6" name="Rectangle 5">
            <a:extLst>
              <a:ext uri="{FF2B5EF4-FFF2-40B4-BE49-F238E27FC236}">
                <a16:creationId xmlns:a16="http://schemas.microsoft.com/office/drawing/2014/main" id="{570A22AC-A452-C02F-A8D4-2931EF50B957}"/>
              </a:ext>
            </a:extLst>
          </xdr:cNvPr>
          <xdr:cNvSpPr/>
        </xdr:nvSpPr>
        <xdr:spPr>
          <a:xfrm>
            <a:off x="1673678" y="121536"/>
            <a:ext cx="8150679" cy="94129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4000" b="1">
                <a:solidFill>
                  <a:sysClr val="windowText" lastClr="000000"/>
                </a:solidFill>
                <a:effectLst/>
                <a:latin typeface="Segoe UI" panose="020B0502040204020203" pitchFamily="34" charset="0"/>
                <a:ea typeface="+mn-ea"/>
                <a:cs typeface="Segoe UI" panose="020B0502040204020203" pitchFamily="34" charset="0"/>
              </a:rPr>
              <a:t>Task</a:t>
            </a:r>
            <a:r>
              <a:rPr lang="en-US" sz="4000" b="1" baseline="0">
                <a:solidFill>
                  <a:sysClr val="windowText" lastClr="000000"/>
                </a:solidFill>
                <a:effectLst/>
                <a:latin typeface="Segoe UI" panose="020B0502040204020203" pitchFamily="34" charset="0"/>
                <a:ea typeface="+mn-ea"/>
                <a:cs typeface="Segoe UI" panose="020B0502040204020203" pitchFamily="34" charset="0"/>
              </a:rPr>
              <a:t> Tracker for Risks</a:t>
            </a:r>
            <a:endParaRPr lang="en-US" sz="4000" b="1">
              <a:solidFill>
                <a:sysClr val="windowText" lastClr="000000"/>
              </a:solidFill>
              <a:effectLst/>
              <a:latin typeface="Segoe UI" panose="020B0502040204020203" pitchFamily="34" charset="0"/>
              <a:cs typeface="Segoe UI"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268605</xdr:colOff>
      <xdr:row>1</xdr:row>
      <xdr:rowOff>1084489</xdr:rowOff>
    </xdr:to>
    <xdr:grpSp>
      <xdr:nvGrpSpPr>
        <xdr:cNvPr id="6" name="Group 5">
          <a:extLst>
            <a:ext uri="{FF2B5EF4-FFF2-40B4-BE49-F238E27FC236}">
              <a16:creationId xmlns:a16="http://schemas.microsoft.com/office/drawing/2014/main" id="{AD4696EA-BB2A-4A02-89B0-13BAC74621A0}"/>
            </a:ext>
          </a:extLst>
        </xdr:cNvPr>
        <xdr:cNvGrpSpPr>
          <a:grpSpLocks noChangeAspect="1"/>
        </xdr:cNvGrpSpPr>
      </xdr:nvGrpSpPr>
      <xdr:grpSpPr>
        <a:xfrm>
          <a:off x="0" y="0"/>
          <a:ext cx="12984480" cy="1265464"/>
          <a:chOff x="13607" y="0"/>
          <a:chExt cx="12984480" cy="1265464"/>
        </a:xfrm>
      </xdr:grpSpPr>
      <xdr:sp macro="" textlink="">
        <xdr:nvSpPr>
          <xdr:cNvPr id="7" name="Rectangle 6">
            <a:extLst>
              <a:ext uri="{FF2B5EF4-FFF2-40B4-BE49-F238E27FC236}">
                <a16:creationId xmlns:a16="http://schemas.microsoft.com/office/drawing/2014/main" id="{8F6F7793-9546-C98E-5A6C-F4ADEA8E24C1}"/>
              </a:ext>
            </a:extLst>
          </xdr:cNvPr>
          <xdr:cNvSpPr/>
        </xdr:nvSpPr>
        <xdr:spPr>
          <a:xfrm>
            <a:off x="13607" y="0"/>
            <a:ext cx="12984480" cy="1265464"/>
          </a:xfrm>
          <a:prstGeom prst="rect">
            <a:avLst/>
          </a:prstGeom>
          <a:solidFill>
            <a:schemeClr val="accent2">
              <a:lumMod val="7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kern="1200"/>
          </a:p>
        </xdr:txBody>
      </xdr:sp>
      <xdr:sp macro="" textlink="">
        <xdr:nvSpPr>
          <xdr:cNvPr id="8" name="Rectangle 7">
            <a:extLst>
              <a:ext uri="{FF2B5EF4-FFF2-40B4-BE49-F238E27FC236}">
                <a16:creationId xmlns:a16="http://schemas.microsoft.com/office/drawing/2014/main" id="{AFA49A16-8489-E01F-6D68-2BA6E84F57B2}"/>
              </a:ext>
            </a:extLst>
          </xdr:cNvPr>
          <xdr:cNvSpPr/>
        </xdr:nvSpPr>
        <xdr:spPr>
          <a:xfrm>
            <a:off x="1851932" y="121536"/>
            <a:ext cx="8724900" cy="941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3600" b="1">
                <a:solidFill>
                  <a:sysClr val="windowText" lastClr="000000"/>
                </a:solidFill>
                <a:effectLst/>
                <a:latin typeface="Segoe UI" panose="020B0502040204020203" pitchFamily="34" charset="0"/>
                <a:ea typeface="+mn-ea"/>
                <a:cs typeface="Segoe UI" panose="020B0502040204020203" pitchFamily="34" charset="0"/>
              </a:rPr>
              <a:t>Pivot</a:t>
            </a:r>
            <a:r>
              <a:rPr lang="en-US" sz="3600" b="1" baseline="0">
                <a:solidFill>
                  <a:sysClr val="windowText" lastClr="000000"/>
                </a:solidFill>
                <a:effectLst/>
                <a:latin typeface="Segoe UI" panose="020B0502040204020203" pitchFamily="34" charset="0"/>
                <a:ea typeface="+mn-ea"/>
                <a:cs typeface="Segoe UI" panose="020B0502040204020203" pitchFamily="34" charset="0"/>
              </a:rPr>
              <a:t> Calculations for Dashboard</a:t>
            </a:r>
            <a:endParaRPr lang="en-US" sz="3600" b="1">
              <a:solidFill>
                <a:sysClr val="windowText" lastClr="000000"/>
              </a:solidFill>
              <a:effectLst/>
              <a:latin typeface="Segoe UI" panose="020B0502040204020203" pitchFamily="34" charset="0"/>
              <a:cs typeface="Segoe UI" panose="020B0502040204020203" pitchFamily="34"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0</xdr:row>
      <xdr:rowOff>4246</xdr:rowOff>
    </xdr:from>
    <xdr:to>
      <xdr:col>25</xdr:col>
      <xdr:colOff>78442</xdr:colOff>
      <xdr:row>0</xdr:row>
      <xdr:rowOff>1287875</xdr:rowOff>
    </xdr:to>
    <xdr:grpSp>
      <xdr:nvGrpSpPr>
        <xdr:cNvPr id="2" name="Group 1">
          <a:extLst>
            <a:ext uri="{FF2B5EF4-FFF2-40B4-BE49-F238E27FC236}">
              <a16:creationId xmlns:a16="http://schemas.microsoft.com/office/drawing/2014/main" id="{3E597F5F-48CE-434E-83D3-10118E9F185E}"/>
            </a:ext>
          </a:extLst>
        </xdr:cNvPr>
        <xdr:cNvGrpSpPr>
          <a:grpSpLocks noChangeAspect="1"/>
        </xdr:cNvGrpSpPr>
      </xdr:nvGrpSpPr>
      <xdr:grpSpPr>
        <a:xfrm>
          <a:off x="1" y="4246"/>
          <a:ext cx="16394766" cy="1283629"/>
          <a:chOff x="13608" y="-18165"/>
          <a:chExt cx="16349382" cy="1283629"/>
        </a:xfrm>
        <a:solidFill>
          <a:schemeClr val="accent2">
            <a:lumMod val="75000"/>
          </a:schemeClr>
        </a:solidFill>
      </xdr:grpSpPr>
      <xdr:sp macro="" textlink="">
        <xdr:nvSpPr>
          <xdr:cNvPr id="3" name="Rectangle 2">
            <a:extLst>
              <a:ext uri="{FF2B5EF4-FFF2-40B4-BE49-F238E27FC236}">
                <a16:creationId xmlns:a16="http://schemas.microsoft.com/office/drawing/2014/main" id="{C4A56F09-33A3-F359-BFC4-8DE967923017}"/>
              </a:ext>
            </a:extLst>
          </xdr:cNvPr>
          <xdr:cNvSpPr/>
        </xdr:nvSpPr>
        <xdr:spPr>
          <a:xfrm>
            <a:off x="13608" y="0"/>
            <a:ext cx="16349382" cy="1265464"/>
          </a:xfrm>
          <a:prstGeom prst="rect">
            <a:avLst/>
          </a:prstGeom>
          <a:grp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kern="1200"/>
          </a:p>
        </xdr:txBody>
      </xdr:sp>
      <xdr:sp macro="" textlink="">
        <xdr:nvSpPr>
          <xdr:cNvPr id="4" name="Rectangle 3">
            <a:extLst>
              <a:ext uri="{FF2B5EF4-FFF2-40B4-BE49-F238E27FC236}">
                <a16:creationId xmlns:a16="http://schemas.microsoft.com/office/drawing/2014/main" id="{88316FFD-7D0B-0B28-CCCD-29CE75ED8529}"/>
              </a:ext>
            </a:extLst>
          </xdr:cNvPr>
          <xdr:cNvSpPr/>
        </xdr:nvSpPr>
        <xdr:spPr>
          <a:xfrm>
            <a:off x="3774643" y="-18165"/>
            <a:ext cx="7624811" cy="1126053"/>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400" b="1">
                <a:solidFill>
                  <a:sysClr val="windowText" lastClr="000000"/>
                </a:solidFill>
                <a:effectLst/>
                <a:latin typeface="Segoe UI" panose="020B0502040204020203" pitchFamily="34" charset="0"/>
                <a:ea typeface="+mn-ea"/>
                <a:cs typeface="Segoe UI" panose="020B0502040204020203" pitchFamily="34" charset="0"/>
              </a:rPr>
              <a:t>Risk</a:t>
            </a:r>
            <a:r>
              <a:rPr lang="en-US" sz="4400" b="1" baseline="0">
                <a:solidFill>
                  <a:sysClr val="windowText" lastClr="000000"/>
                </a:solidFill>
                <a:effectLst/>
                <a:latin typeface="Segoe UI" panose="020B0502040204020203" pitchFamily="34" charset="0"/>
                <a:ea typeface="+mn-ea"/>
                <a:cs typeface="Segoe UI" panose="020B0502040204020203" pitchFamily="34" charset="0"/>
              </a:rPr>
              <a:t> Resolution Timeline</a:t>
            </a:r>
          </a:p>
          <a:p>
            <a:pPr marL="0" marR="0" lvl="0" indent="0" algn="ctr" defTabSz="914400" eaLnBrk="1" fontAlgn="auto" latinLnBrk="0" hangingPunct="1">
              <a:lnSpc>
                <a:spcPct val="100000"/>
              </a:lnSpc>
              <a:spcBef>
                <a:spcPts val="0"/>
              </a:spcBef>
              <a:spcAft>
                <a:spcPts val="0"/>
              </a:spcAft>
              <a:buClrTx/>
              <a:buSzTx/>
              <a:buFontTx/>
              <a:buNone/>
              <a:tabLst/>
              <a:defRPr/>
            </a:pPr>
            <a:r>
              <a:rPr lang="en-US" sz="1600" b="0" baseline="0">
                <a:solidFill>
                  <a:sysClr val="windowText" lastClr="000000"/>
                </a:solidFill>
                <a:effectLst/>
                <a:latin typeface="Segoe UI" panose="020B0502040204020203" pitchFamily="34" charset="0"/>
                <a:ea typeface="+mn-ea"/>
                <a:cs typeface="Segoe UI" panose="020B0502040204020203" pitchFamily="34" charset="0"/>
              </a:rPr>
              <a:t>(For average Risk Score chart)</a:t>
            </a:r>
            <a:endParaRPr lang="en-US" sz="1600" b="0">
              <a:solidFill>
                <a:sysClr val="windowText" lastClr="000000"/>
              </a:solidFill>
              <a:effectLst/>
              <a:latin typeface="Segoe UI" panose="020B0502040204020203" pitchFamily="34" charset="0"/>
              <a:cs typeface="Segoe UI" panose="020B0502040204020203" pitchFamily="34"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Sivadasan" refreshedDate="45634.91452766204" createdVersion="8" refreshedVersion="8" minRefreshableVersion="3" recordCount="1000" xr:uid="{C5A9E988-5606-42A3-8BB4-124E402DE570}">
  <cacheSource type="worksheet">
    <worksheetSource name="RiskRegister"/>
  </cacheSource>
  <cacheFields count="45">
    <cacheField name="Risk 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Risk Title" numFmtId="0">
      <sharedItems containsBlank="1"/>
    </cacheField>
    <cacheField name="Risk Description" numFmtId="0">
      <sharedItems containsBlank="1"/>
    </cacheField>
    <cacheField name="Created Date" numFmtId="0">
      <sharedItems containsNonDate="0" containsDate="1" containsString="0" containsBlank="1" minDate="2024-01-01T00:00:00" maxDate="2024-12-21T00:00:00"/>
    </cacheField>
    <cacheField name="Cause" numFmtId="0">
      <sharedItems containsBlank="1"/>
    </cacheField>
    <cacheField name="Consequence" numFmtId="0">
      <sharedItems containsBlank="1"/>
    </cacheField>
    <cacheField name="Risk Category" numFmtId="0">
      <sharedItems count="9">
        <s v="Data breach"/>
        <s v="Ransomware"/>
        <s v="Insider Threats"/>
        <s v="Supply Chain "/>
        <s v="System Vulnerabilities"/>
        <s v="Social Engineering"/>
        <s v="Identity and Access"/>
        <s v="Non-compliance"/>
        <s v="-- Select Risk Category --"/>
      </sharedItems>
    </cacheField>
    <cacheField name="Risk comments" numFmtId="0">
      <sharedItems containsNonDate="0" containsString="0" containsBlank="1"/>
    </cacheField>
    <cacheField name="Department" numFmtId="0">
      <sharedItems/>
    </cacheField>
    <cacheField name="Risk Owner" numFmtId="0">
      <sharedItems containsNonDate="0" containsString="0" containsBlank="1"/>
    </cacheField>
    <cacheField name="Existing measures and controls" numFmtId="0">
      <sharedItems containsNonDate="0" containsString="0" containsBlank="1"/>
    </cacheField>
    <cacheField name="Inherent Impact Level" numFmtId="0">
      <sharedItems/>
    </cacheField>
    <cacheField name="Inherent Impact Rating" numFmtId="0">
      <sharedItems containsMixedTypes="1" containsNumber="1" containsInteger="1" minValue="1" maxValue="5"/>
    </cacheField>
    <cacheField name="Inherent Likelihood Level" numFmtId="0">
      <sharedItems/>
    </cacheField>
    <cacheField name="Inherent Likelihood Rating" numFmtId="0">
      <sharedItems containsMixedTypes="1" containsNumber="1" containsInteger="1" minValue="1" maxValue="5"/>
    </cacheField>
    <cacheField name="Inherent Risk Level" numFmtId="0">
      <sharedItems count="6">
        <s v="Medium"/>
        <s v="High"/>
        <s v="Low"/>
        <s v="-- Error --"/>
        <e v="#VALUE!" u="1"/>
        <s v="--- Error ---" u="1"/>
      </sharedItems>
    </cacheField>
    <cacheField name="Inherent Risk Rating" numFmtId="0">
      <sharedItems containsMixedTypes="1" containsNumber="1" containsInteger="1" minValue="0" maxValue="25" count="13">
        <n v="5"/>
        <n v="8"/>
        <n v="15"/>
        <n v="16"/>
        <n v="25"/>
        <n v="4"/>
        <n v="12"/>
        <n v="3"/>
        <n v="10"/>
        <n v="20"/>
        <s v="-- Error --"/>
        <n v="6" u="1"/>
        <n v="0" u="1"/>
      </sharedItems>
    </cacheField>
    <cacheField name="Risk Response Strategy" numFmtId="0">
      <sharedItems count="3">
        <s v="Accept"/>
        <s v="Mitigate"/>
        <s v="-- Select Risk Response --"/>
      </sharedItems>
    </cacheField>
    <cacheField name="New measures and controls" numFmtId="0">
      <sharedItems containsBlank="1"/>
    </cacheField>
    <cacheField name="Residual Impact Level" numFmtId="0">
      <sharedItems/>
    </cacheField>
    <cacheField name="Residual Impact Rating" numFmtId="0">
      <sharedItems containsMixedTypes="1" containsNumber="1" containsInteger="1" minValue="1" maxValue="5"/>
    </cacheField>
    <cacheField name="Residual Likelihood Level" numFmtId="0">
      <sharedItems/>
    </cacheField>
    <cacheField name="Residual Likelihood Rating" numFmtId="0">
      <sharedItems containsMixedTypes="1" containsNumber="1" containsInteger="1" minValue="1" maxValue="5"/>
    </cacheField>
    <cacheField name="Residual Risk Level" numFmtId="0">
      <sharedItems count="6">
        <s v="Medium"/>
        <s v="Low"/>
        <s v="High"/>
        <s v="-- Error --"/>
        <e v="#VALUE!" u="1"/>
        <s v="--- Error ---" u="1"/>
      </sharedItems>
    </cacheField>
    <cacheField name="Residual Risk Rating" numFmtId="0">
      <sharedItems containsMixedTypes="1" containsNumber="1" containsInteger="1" minValue="1" maxValue="25" count="8">
        <n v="5"/>
        <n v="8"/>
        <n v="4"/>
        <n v="2"/>
        <n v="1"/>
        <n v="6"/>
        <n v="25"/>
        <s v="-- Error --"/>
      </sharedItems>
    </cacheField>
    <cacheField name="Risk Status" numFmtId="0">
      <sharedItems count="5">
        <s v="Open"/>
        <s v="Closed"/>
        <s v="In Progress"/>
        <s v="-- Select Risk Status --"/>
        <s v="Draft" u="1"/>
      </sharedItems>
    </cacheField>
    <cacheField name="Status comments" numFmtId="0">
      <sharedItems containsNonDate="0" containsString="0" containsBlank="1"/>
    </cacheField>
    <cacheField name="Risk Due Date" numFmtId="167">
      <sharedItems containsNonDate="0" containsDate="1" containsString="0" containsBlank="1" minDate="2023-09-11T00:00:00" maxDate="2024-12-13T00:00:00"/>
    </cacheField>
    <cacheField name="Risk Close Date" numFmtId="0">
      <sharedItems containsNonDate="0" containsString="0" containsBlank="1"/>
    </cacheField>
    <cacheField name="Overdue?" numFmtId="0">
      <sharedItems count="3">
        <s v="Missing Risk Due Date"/>
        <s v="Overdue"/>
        <s v="Not Overdue"/>
      </sharedItems>
    </cacheField>
    <cacheField name="Next Review Date" numFmtId="0">
      <sharedItems containsNonDate="0" containsString="0" containsBlank="1"/>
    </cacheField>
    <cacheField name="Due Month" numFmtId="0">
      <sharedItems/>
    </cacheField>
    <cacheField name="Created Month" numFmtId="0">
      <sharedItems count="6">
        <s v="Jan-2024"/>
        <s v="May-2024"/>
        <s v="Apr-2024"/>
        <s v="Sep-2024"/>
        <s v="Dec-2024"/>
        <s v="Created Date missing"/>
      </sharedItems>
    </cacheField>
    <cacheField name="Risk-Change-Date" numFmtId="167">
      <sharedItems containsSemiMixedTypes="0" containsNonDate="0" containsDate="1" containsString="0" minDate="1899-12-30T00:00:00" maxDate="2024-12-13T00:00:00"/>
    </cacheField>
    <cacheField name="Corrected-Risk-Change-Date" numFmtId="167">
      <sharedItems containsSemiMixedTypes="0" containsNonDate="0" containsDate="1" containsString="0" minDate="2023-09-11T00:00:00" maxDate="2030-01-02T00:00:00" count="14">
        <d v="2030-01-01T00:00:00"/>
        <d v="2024-05-08T00:00:00"/>
        <d v="2024-02-06T00:00:00"/>
        <d v="2023-10-19T00:00:00"/>
        <d v="2023-09-11T00:00:00"/>
        <d v="2024-10-02T00:00:00"/>
        <d v="2024-11-30T00:00:00"/>
        <d v="2024-12-05T00:00:00"/>
        <d v="2024-01-19T00:00:00"/>
        <d v="2024-06-06T00:00:00"/>
        <d v="2024-12-12T00:00:00"/>
        <d v="2024-04-11T00:00:00"/>
        <d v="2023-12-19T00:00:00"/>
        <d v="2023-12-12T00:00:00"/>
      </sharedItems>
      <fieldGroup par="44"/>
    </cacheField>
    <cacheField name="Inherent-I-L-Combo" numFmtId="0">
      <sharedItems/>
    </cacheField>
    <cacheField name="Residual-I-L-Combo" numFmtId="0">
      <sharedItems/>
    </cacheField>
    <cacheField name="Mitigated?" numFmtId="0">
      <sharedItems count="3">
        <s v="No"/>
        <s v="Yes"/>
        <s v="Error"/>
      </sharedItems>
    </cacheField>
    <cacheField name="Current-Impact" numFmtId="0">
      <sharedItems/>
    </cacheField>
    <cacheField name="Current-Likelihood" numFmtId="0">
      <sharedItems/>
    </cacheField>
    <cacheField name="Current-I-L-Combo" numFmtId="0">
      <sharedItems count="14">
        <s v="Very Low-Highly Likely"/>
        <s v="Low-Likely"/>
        <s v="Moderate-Highly Likely"/>
        <s v="High-Likely"/>
        <s v="Very High-Highly Likely"/>
        <s v="Very Low-Likely"/>
        <s v="Very High-Rare"/>
        <s v="Low-Unlikely"/>
        <s v="High-Possible"/>
        <s v="Very High-Possible"/>
        <s v="Very Low-Possible"/>
        <s v="Low-Highly Likely"/>
        <s v="High-Highly Likely"/>
        <s v="-- Select Impact ----- Select Likelihood --"/>
      </sharedItems>
    </cacheField>
    <cacheField name="Current Risk Level" numFmtId="0">
      <sharedItems count="4">
        <s v="Medium"/>
        <s v="High"/>
        <s v="Low"/>
        <s v="-- Error --"/>
      </sharedItems>
    </cacheField>
    <cacheField name="Months (Corrected-Risk-Change-Date)" numFmtId="0" databaseField="0">
      <fieldGroup base="34">
        <rangePr groupBy="months" startDate="2023-09-11T00:00:00" endDate="2030-01-02T00:00:00"/>
        <groupItems count="14">
          <s v="&lt;11/09/23"/>
          <s v="Jan"/>
          <s v="Feb"/>
          <s v="Mar"/>
          <s v="Apr"/>
          <s v="May"/>
          <s v="Jun"/>
          <s v="Jul"/>
          <s v="Aug"/>
          <s v="Sep"/>
          <s v="Oct"/>
          <s v="Nov"/>
          <s v="Dec"/>
          <s v="&gt;02/01/30"/>
        </groupItems>
      </fieldGroup>
    </cacheField>
    <cacheField name="Quarters (Corrected-Risk-Change-Date)" numFmtId="0" databaseField="0">
      <fieldGroup base="34">
        <rangePr groupBy="quarters" startDate="2023-09-11T00:00:00" endDate="2030-01-02T00:00:00"/>
        <groupItems count="6">
          <s v="&lt;11/09/23"/>
          <s v="Qtr1"/>
          <s v="Qtr2"/>
          <s v="Qtr3"/>
          <s v="Qtr4"/>
          <s v="&gt;02/01/30"/>
        </groupItems>
      </fieldGroup>
    </cacheField>
    <cacheField name="Years (Corrected-Risk-Change-Date)" numFmtId="0" databaseField="0">
      <fieldGroup base="34">
        <rangePr groupBy="years" startDate="2023-09-11T00:00:00" endDate="2030-01-02T00:00:00"/>
        <groupItems count="10">
          <s v="&lt;11/09/23"/>
          <s v="2023"/>
          <s v="2024"/>
          <s v="2025"/>
          <s v="2026"/>
          <s v="2027"/>
          <s v="2028"/>
          <s v="2029"/>
          <s v="2030"/>
          <s v="&gt;02/01/30"/>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refreshedDate="45704.719456250001" createdVersion="8" refreshedVersion="8" minRefreshableVersion="3" recordCount="100" xr:uid="{27464020-68FD-499C-9056-39057724BEFD}">
  <cacheSource type="worksheet">
    <worksheetSource name="Tasks"/>
  </cacheSource>
  <cacheFields count="17">
    <cacheField name="Task ID" numFmtId="0">
      <sharedItems/>
    </cacheField>
    <cacheField name="Created Date" numFmtId="165">
      <sharedItems containsNonDate="0" containsDate="1" containsString="0" containsBlank="1" minDate="2024-02-03T00:00:00" maxDate="2024-04-10T00:00:00"/>
    </cacheField>
    <cacheField name="Task Title" numFmtId="0">
      <sharedItems containsBlank="1"/>
    </cacheField>
    <cacheField name="Task Description" numFmtId="0">
      <sharedItems containsBlank="1"/>
    </cacheField>
    <cacheField name="Assignee" numFmtId="0">
      <sharedItems containsBlank="1"/>
    </cacheField>
    <cacheField name="Status" numFmtId="0">
      <sharedItems containsBlank="1"/>
    </cacheField>
    <cacheField name="Due Date" numFmtId="164">
      <sharedItems containsNonDate="0" containsDate="1" containsString="0" containsBlank="1" minDate="2024-01-01T00:00:00" maxDate="2024-11-24T00:00:00"/>
    </cacheField>
    <cacheField name="Comments" numFmtId="0">
      <sharedItems containsBlank="1"/>
    </cacheField>
    <cacheField name="Risk ID" numFmtId="0">
      <sharedItems containsString="0" containsBlank="1" containsNumber="1" containsInteger="1" minValue="1" maxValue="4"/>
    </cacheField>
    <cacheField name="Risk Title" numFmtId="0">
      <sharedItems/>
    </cacheField>
    <cacheField name="Overdue?" numFmtId="0">
      <sharedItems/>
    </cacheField>
    <cacheField name="Due Month" numFmtId="0">
      <sharedItems containsNonDate="0" containsString="0" containsBlank="1"/>
    </cacheField>
    <cacheField name="Due Year" numFmtId="0">
      <sharedItems containsNonDate="0" containsString="0" containsBlank="1"/>
    </cacheField>
    <cacheField name="Risk-ID-Title-Combo" numFmtId="0">
      <sharedItems count="9">
        <s v="1 - Risk 1"/>
        <s v="2 - Risk 2"/>
        <s v="3 - Risk 3"/>
        <s v="4 - Risk 4"/>
        <s v=" - Error!"/>
        <s v="1 - Weak physical security" u="1"/>
        <s v="2 - Windows 7 use " u="1"/>
        <s v="3 - Phishing risk" u="1"/>
        <s v="4 - DDoS attack" u="1"/>
      </sharedItems>
    </cacheField>
    <cacheField name="Residual-I-L-Combo" numFmtId="0">
      <sharedItems containsNonDate="0" containsString="0" containsBlank="1"/>
    </cacheField>
    <cacheField name="Mitigated?" numFmtId="0">
      <sharedItems containsNonDate="0" containsString="0" containsBlank="1"/>
    </cacheField>
    <cacheField name="Current Risk Leve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Weak physical security"/>
    <s v="sec1"/>
    <d v="2024-01-01T00:00:00"/>
    <s v="sec1"/>
    <s v="sec1"/>
    <x v="0"/>
    <m/>
    <s v="Information Technology (IT)"/>
    <m/>
    <m/>
    <s v="Very Low"/>
    <n v="1"/>
    <s v="Highly Likely"/>
    <n v="5"/>
    <x v="0"/>
    <x v="0"/>
    <x v="0"/>
    <m/>
    <s v="Very Low"/>
    <n v="1"/>
    <s v="Highly Likely"/>
    <n v="5"/>
    <x v="0"/>
    <x v="0"/>
    <x v="0"/>
    <m/>
    <m/>
    <m/>
    <x v="0"/>
    <m/>
    <s v="Missing Risk Due Date"/>
    <x v="0"/>
    <d v="1899-12-30T00:00:00"/>
    <x v="0"/>
    <s v="Very Low-Highly Likely"/>
    <s v="Very Low-Highly Likely"/>
    <x v="0"/>
    <s v="Very Low"/>
    <s v="Highly Likely"/>
    <x v="0"/>
    <x v="0"/>
  </r>
  <r>
    <x v="1"/>
    <s v="Windows 7 use "/>
    <s v="sec2"/>
    <d v="2024-05-02T00:00:00"/>
    <s v="sec2"/>
    <s v="sec2"/>
    <x v="1"/>
    <m/>
    <s v="Information Technology (IT)"/>
    <m/>
    <m/>
    <s v="Low"/>
    <n v="2"/>
    <s v="Likely"/>
    <n v="4"/>
    <x v="0"/>
    <x v="1"/>
    <x v="0"/>
    <m/>
    <s v="Low"/>
    <n v="2"/>
    <s v="Likely"/>
    <n v="4"/>
    <x v="0"/>
    <x v="1"/>
    <x v="1"/>
    <m/>
    <m/>
    <m/>
    <x v="0"/>
    <m/>
    <s v="Missing Risk Due Date"/>
    <x v="1"/>
    <d v="1899-12-30T00:00:00"/>
    <x v="0"/>
    <s v="Low-Likely"/>
    <s v="Low-Likely"/>
    <x v="0"/>
    <s v="Low"/>
    <s v="Likely"/>
    <x v="1"/>
    <x v="0"/>
  </r>
  <r>
    <x v="2"/>
    <s v="Phishing risk"/>
    <s v="sec3"/>
    <d v="2024-04-03T00:00:00"/>
    <s v="sec3"/>
    <s v="sec3"/>
    <x v="2"/>
    <m/>
    <s v="Information Technology (IT)"/>
    <m/>
    <m/>
    <s v="Moderate"/>
    <n v="3"/>
    <s v="Highly Likely"/>
    <n v="5"/>
    <x v="0"/>
    <x v="2"/>
    <x v="1"/>
    <s v="blah1"/>
    <s v="Very Low"/>
    <n v="1"/>
    <s v="Likely"/>
    <n v="4"/>
    <x v="1"/>
    <x v="2"/>
    <x v="2"/>
    <m/>
    <d v="2024-05-08T00:00:00"/>
    <m/>
    <x v="1"/>
    <m/>
    <s v="2024-05"/>
    <x v="2"/>
    <d v="2024-05-08T00:00:00"/>
    <x v="1"/>
    <s v="Moderate-Highly Likely"/>
    <s v="Very Low-Likely"/>
    <x v="0"/>
    <s v="Moderate"/>
    <s v="Highly Likely"/>
    <x v="2"/>
    <x v="0"/>
  </r>
  <r>
    <x v="3"/>
    <s v="DDoS attack"/>
    <s v="sec4"/>
    <d v="2024-04-04T00:00:00"/>
    <s v="sec4"/>
    <s v="sec4"/>
    <x v="3"/>
    <m/>
    <s v="Information Technology (IT)"/>
    <m/>
    <m/>
    <s v="High"/>
    <n v="4"/>
    <s v="Likely"/>
    <n v="4"/>
    <x v="0"/>
    <x v="3"/>
    <x v="1"/>
    <s v="blah2"/>
    <s v="Very Low"/>
    <n v="1"/>
    <s v="Unlikely"/>
    <n v="2"/>
    <x v="1"/>
    <x v="3"/>
    <x v="0"/>
    <m/>
    <m/>
    <m/>
    <x v="0"/>
    <m/>
    <s v="Missing Risk Due Date"/>
    <x v="2"/>
    <d v="1899-12-30T00:00:00"/>
    <x v="0"/>
    <s v="High-Likely"/>
    <s v="Very Low-Unlikely"/>
    <x v="0"/>
    <s v="High"/>
    <s v="Likely"/>
    <x v="3"/>
    <x v="0"/>
  </r>
  <r>
    <x v="4"/>
    <s v="sec5"/>
    <s v="sec5"/>
    <d v="2024-04-05T00:00:00"/>
    <s v="sec5"/>
    <s v="sec5"/>
    <x v="4"/>
    <m/>
    <s v="Information Technology (IT)"/>
    <m/>
    <m/>
    <s v="Very High"/>
    <n v="5"/>
    <s v="Highly Likely"/>
    <n v="5"/>
    <x v="1"/>
    <x v="4"/>
    <x v="1"/>
    <s v="blah3"/>
    <s v="Low"/>
    <n v="2"/>
    <s v="Likely"/>
    <n v="4"/>
    <x v="0"/>
    <x v="1"/>
    <x v="2"/>
    <m/>
    <d v="2024-02-06T00:00:00"/>
    <m/>
    <x v="1"/>
    <m/>
    <s v="2024-02"/>
    <x v="2"/>
    <d v="2024-02-06T00:00:00"/>
    <x v="2"/>
    <s v="Very High-Highly Likely"/>
    <s v="Low-Likely"/>
    <x v="0"/>
    <s v="Very High"/>
    <s v="Highly Likely"/>
    <x v="4"/>
    <x v="1"/>
  </r>
  <r>
    <x v="5"/>
    <s v="sec6"/>
    <s v="sec6"/>
    <d v="2024-04-06T00:00:00"/>
    <s v="sec6"/>
    <s v="sec6"/>
    <x v="5"/>
    <m/>
    <s v="Information Technology (IT)"/>
    <m/>
    <m/>
    <s v="Very Low"/>
    <n v="1"/>
    <s v="Likely"/>
    <n v="4"/>
    <x v="2"/>
    <x v="5"/>
    <x v="1"/>
    <s v="blah4"/>
    <s v="Very Low"/>
    <n v="1"/>
    <s v="Unlikely"/>
    <n v="2"/>
    <x v="1"/>
    <x v="3"/>
    <x v="2"/>
    <m/>
    <d v="2023-10-19T00:00:00"/>
    <m/>
    <x v="1"/>
    <m/>
    <s v="2023-10"/>
    <x v="2"/>
    <d v="2023-10-19T00:00:00"/>
    <x v="3"/>
    <s v="Very Low-Likely"/>
    <s v="Very Low-Unlikely"/>
    <x v="0"/>
    <s v="Very Low"/>
    <s v="Likely"/>
    <x v="5"/>
    <x v="2"/>
  </r>
  <r>
    <x v="6"/>
    <s v="sec7"/>
    <s v="sec7"/>
    <d v="2024-04-07T00:00:00"/>
    <s v="sec7"/>
    <s v="sec7"/>
    <x v="6"/>
    <m/>
    <s v="Information Technology (IT)"/>
    <m/>
    <m/>
    <s v="Very High"/>
    <n v="5"/>
    <s v="Rare"/>
    <n v="1"/>
    <x v="0"/>
    <x v="0"/>
    <x v="1"/>
    <s v="blah5"/>
    <s v="Very Low"/>
    <n v="1"/>
    <s v="Rare"/>
    <n v="1"/>
    <x v="1"/>
    <x v="4"/>
    <x v="2"/>
    <m/>
    <d v="2023-09-11T00:00:00"/>
    <m/>
    <x v="1"/>
    <m/>
    <s v="2023-09"/>
    <x v="2"/>
    <d v="2023-09-11T00:00:00"/>
    <x v="4"/>
    <s v="Very High-Rare"/>
    <s v="Very Low-Rare"/>
    <x v="0"/>
    <s v="Very High"/>
    <s v="Rare"/>
    <x v="6"/>
    <x v="0"/>
  </r>
  <r>
    <x v="7"/>
    <s v="sec8"/>
    <s v="sec8"/>
    <d v="2024-04-08T00:00:00"/>
    <s v="sec8"/>
    <s v="sec8"/>
    <x v="7"/>
    <m/>
    <s v="Information Technology (IT)"/>
    <m/>
    <m/>
    <s v="Low"/>
    <n v="2"/>
    <s v="Unlikely"/>
    <n v="2"/>
    <x v="2"/>
    <x v="5"/>
    <x v="1"/>
    <s v="blah6"/>
    <s v="Low"/>
    <n v="2"/>
    <s v="Unlikely"/>
    <n v="2"/>
    <x v="1"/>
    <x v="2"/>
    <x v="1"/>
    <m/>
    <m/>
    <m/>
    <x v="0"/>
    <m/>
    <s v="Missing Risk Due Date"/>
    <x v="2"/>
    <d v="1899-12-30T00:00:00"/>
    <x v="0"/>
    <s v="Low-Unlikely"/>
    <s v="Low-Unlikely"/>
    <x v="1"/>
    <s v="Low"/>
    <s v="Unlikely"/>
    <x v="7"/>
    <x v="2"/>
  </r>
  <r>
    <x v="8"/>
    <s v="sec9"/>
    <s v="sec9"/>
    <d v="2024-04-09T00:00:00"/>
    <s v="sec9"/>
    <s v="sec9"/>
    <x v="7"/>
    <m/>
    <s v="Sales"/>
    <m/>
    <m/>
    <s v="High"/>
    <n v="4"/>
    <s v="Possible"/>
    <n v="3"/>
    <x v="0"/>
    <x v="6"/>
    <x v="1"/>
    <s v="blah7"/>
    <s v="Very Low"/>
    <n v="1"/>
    <s v="Likely"/>
    <n v="4"/>
    <x v="1"/>
    <x v="2"/>
    <x v="0"/>
    <m/>
    <m/>
    <m/>
    <x v="0"/>
    <m/>
    <s v="Missing Risk Due Date"/>
    <x v="2"/>
    <d v="1899-12-30T00:00:00"/>
    <x v="0"/>
    <s v="High-Possible"/>
    <s v="Very Low-Likely"/>
    <x v="0"/>
    <s v="High"/>
    <s v="Possible"/>
    <x v="8"/>
    <x v="0"/>
  </r>
  <r>
    <x v="9"/>
    <s v="sec10"/>
    <s v="sec10"/>
    <d v="2024-04-10T00:00:00"/>
    <s v="sec10"/>
    <s v="sec10"/>
    <x v="0"/>
    <m/>
    <s v="Sales"/>
    <m/>
    <m/>
    <s v="Very High"/>
    <n v="5"/>
    <s v="Possible"/>
    <n v="3"/>
    <x v="0"/>
    <x v="2"/>
    <x v="1"/>
    <s v="blah8"/>
    <s v="Low"/>
    <n v="2"/>
    <s v="Likely"/>
    <n v="4"/>
    <x v="0"/>
    <x v="1"/>
    <x v="0"/>
    <m/>
    <m/>
    <m/>
    <x v="0"/>
    <m/>
    <s v="Missing Risk Due Date"/>
    <x v="2"/>
    <d v="1899-12-30T00:00:00"/>
    <x v="0"/>
    <s v="Very High-Possible"/>
    <s v="Low-Likely"/>
    <x v="0"/>
    <s v="Very High"/>
    <s v="Possible"/>
    <x v="9"/>
    <x v="0"/>
  </r>
  <r>
    <x v="10"/>
    <s v="sec11"/>
    <s v="sec11"/>
    <d v="2024-04-11T00:00:00"/>
    <s v="sec11"/>
    <s v="sec11"/>
    <x v="1"/>
    <m/>
    <s v="Sales"/>
    <m/>
    <m/>
    <s v="Very Low"/>
    <n v="1"/>
    <s v="Possible"/>
    <n v="3"/>
    <x v="2"/>
    <x v="7"/>
    <x v="1"/>
    <s v="blah9"/>
    <s v="Very Low"/>
    <n v="1"/>
    <s v="Likely"/>
    <n v="4"/>
    <x v="1"/>
    <x v="2"/>
    <x v="2"/>
    <m/>
    <d v="2024-10-02T00:00:00"/>
    <m/>
    <x v="1"/>
    <m/>
    <s v="2024-10"/>
    <x v="2"/>
    <d v="2024-10-02T00:00:00"/>
    <x v="5"/>
    <s v="Very Low-Possible"/>
    <s v="Very Low-Likely"/>
    <x v="0"/>
    <s v="Very Low"/>
    <s v="Possible"/>
    <x v="10"/>
    <x v="2"/>
  </r>
  <r>
    <x v="11"/>
    <s v="sec12"/>
    <s v="sec12"/>
    <d v="2024-04-12T00:00:00"/>
    <s v="sec12"/>
    <s v="sec12"/>
    <x v="2"/>
    <m/>
    <s v="Sales"/>
    <m/>
    <m/>
    <s v="Low"/>
    <n v="2"/>
    <s v="Highly Likely"/>
    <n v="5"/>
    <x v="0"/>
    <x v="8"/>
    <x v="1"/>
    <s v="blah10"/>
    <s v="Very Low"/>
    <n v="1"/>
    <s v="Likely"/>
    <n v="4"/>
    <x v="1"/>
    <x v="2"/>
    <x v="2"/>
    <m/>
    <d v="2024-11-30T00:00:00"/>
    <m/>
    <x v="1"/>
    <m/>
    <s v="2024-11"/>
    <x v="2"/>
    <d v="2024-11-30T00:00:00"/>
    <x v="6"/>
    <s v="Low-Highly Likely"/>
    <s v="Very Low-Likely"/>
    <x v="0"/>
    <s v="Low"/>
    <s v="Highly Likely"/>
    <x v="11"/>
    <x v="0"/>
  </r>
  <r>
    <x v="12"/>
    <s v="sec13"/>
    <s v="sec13"/>
    <d v="2024-04-13T00:00:00"/>
    <s v="sec13"/>
    <s v="sec13"/>
    <x v="3"/>
    <m/>
    <s v="Finance"/>
    <m/>
    <m/>
    <s v="Moderate"/>
    <n v="3"/>
    <s v="Highly Likely"/>
    <n v="5"/>
    <x v="0"/>
    <x v="2"/>
    <x v="1"/>
    <s v="blah11"/>
    <s v="Low"/>
    <n v="2"/>
    <s v="Likely"/>
    <n v="4"/>
    <x v="0"/>
    <x v="1"/>
    <x v="2"/>
    <m/>
    <d v="2024-12-05T00:00:00"/>
    <m/>
    <x v="1"/>
    <m/>
    <s v="2024-12"/>
    <x v="2"/>
    <d v="2024-12-05T00:00:00"/>
    <x v="7"/>
    <s v="Moderate-Highly Likely"/>
    <s v="Low-Likely"/>
    <x v="0"/>
    <s v="Moderate"/>
    <s v="Highly Likely"/>
    <x v="2"/>
    <x v="0"/>
  </r>
  <r>
    <x v="13"/>
    <s v="sec14"/>
    <s v="sec14"/>
    <d v="2024-04-14T00:00:00"/>
    <s v="sec14"/>
    <s v="sec14"/>
    <x v="4"/>
    <m/>
    <s v="Legal"/>
    <m/>
    <m/>
    <s v="High"/>
    <n v="4"/>
    <s v="Highly Likely"/>
    <n v="5"/>
    <x v="1"/>
    <x v="9"/>
    <x v="1"/>
    <s v="blah12"/>
    <s v="Very Low"/>
    <n v="1"/>
    <s v="Likely"/>
    <n v="4"/>
    <x v="1"/>
    <x v="2"/>
    <x v="2"/>
    <m/>
    <d v="2024-01-19T00:00:00"/>
    <m/>
    <x v="1"/>
    <m/>
    <s v="2024-01"/>
    <x v="2"/>
    <d v="2024-01-19T00:00:00"/>
    <x v="8"/>
    <s v="High-Highly Likely"/>
    <s v="Very Low-Likely"/>
    <x v="0"/>
    <s v="High"/>
    <s v="Highly Likely"/>
    <x v="12"/>
    <x v="1"/>
  </r>
  <r>
    <x v="14"/>
    <s v="sec15"/>
    <s v="sec15"/>
    <d v="2024-09-15T00:00:00"/>
    <s v="sec15"/>
    <s v="sec15"/>
    <x v="5"/>
    <m/>
    <s v="Procurement"/>
    <m/>
    <m/>
    <s v="Very High"/>
    <n v="5"/>
    <s v="Highly Likely"/>
    <n v="5"/>
    <x v="1"/>
    <x v="4"/>
    <x v="1"/>
    <s v="blah13"/>
    <s v="Low"/>
    <n v="2"/>
    <s v="Likely"/>
    <n v="4"/>
    <x v="0"/>
    <x v="1"/>
    <x v="2"/>
    <m/>
    <d v="2024-06-06T00:00:00"/>
    <m/>
    <x v="1"/>
    <m/>
    <s v="2024-06"/>
    <x v="3"/>
    <d v="2024-06-06T00:00:00"/>
    <x v="9"/>
    <s v="Very High-Highly Likely"/>
    <s v="Low-Likely"/>
    <x v="0"/>
    <s v="Very High"/>
    <s v="Highly Likely"/>
    <x v="4"/>
    <x v="1"/>
  </r>
  <r>
    <x v="15"/>
    <s v="sec16"/>
    <s v="sec16"/>
    <d v="2024-04-16T00:00:00"/>
    <s v="sec16"/>
    <s v="sec16"/>
    <x v="6"/>
    <m/>
    <s v="Information Technology (IT)"/>
    <m/>
    <m/>
    <s v="Very Low"/>
    <n v="1"/>
    <s v="Highly Likely"/>
    <n v="5"/>
    <x v="0"/>
    <x v="0"/>
    <x v="1"/>
    <s v="blah14"/>
    <s v="Very Low"/>
    <n v="1"/>
    <s v="Unlikely"/>
    <n v="2"/>
    <x v="1"/>
    <x v="3"/>
    <x v="2"/>
    <m/>
    <d v="2024-12-12T00:00:00"/>
    <m/>
    <x v="2"/>
    <m/>
    <s v="2024-12"/>
    <x v="2"/>
    <d v="2024-12-12T00:00:00"/>
    <x v="10"/>
    <s v="Very Low-Highly Likely"/>
    <s v="Very Low-Unlikely"/>
    <x v="0"/>
    <s v="Very Low"/>
    <s v="Highly Likely"/>
    <x v="0"/>
    <x v="0"/>
  </r>
  <r>
    <x v="16"/>
    <s v="sec17"/>
    <s v="sec17"/>
    <d v="2024-04-17T00:00:00"/>
    <s v="sec17"/>
    <s v="sec17"/>
    <x v="7"/>
    <m/>
    <s v="Information Technology (IT)"/>
    <m/>
    <m/>
    <s v="Low"/>
    <n v="2"/>
    <s v="Highly Likely"/>
    <n v="5"/>
    <x v="0"/>
    <x v="8"/>
    <x v="1"/>
    <s v="blah15"/>
    <s v="Low"/>
    <n v="2"/>
    <s v="Likely"/>
    <n v="4"/>
    <x v="0"/>
    <x v="1"/>
    <x v="2"/>
    <m/>
    <d v="2024-04-11T00:00:00"/>
    <m/>
    <x v="1"/>
    <m/>
    <s v="2024-04"/>
    <x v="2"/>
    <d v="2024-04-11T00:00:00"/>
    <x v="11"/>
    <s v="Low-Highly Likely"/>
    <s v="Low-Likely"/>
    <x v="0"/>
    <s v="Low"/>
    <s v="Highly Likely"/>
    <x v="11"/>
    <x v="0"/>
  </r>
  <r>
    <x v="17"/>
    <s v="sec18"/>
    <s v="sec18"/>
    <d v="2024-04-18T00:00:00"/>
    <s v="sec18"/>
    <s v="sec18"/>
    <x v="4"/>
    <m/>
    <s v="Information Technology (IT)"/>
    <m/>
    <m/>
    <s v="Moderate"/>
    <n v="3"/>
    <s v="Highly Likely"/>
    <n v="5"/>
    <x v="0"/>
    <x v="2"/>
    <x v="1"/>
    <s v="blah16"/>
    <s v="Moderate"/>
    <n v="3"/>
    <s v="Unlikely"/>
    <n v="2"/>
    <x v="0"/>
    <x v="5"/>
    <x v="2"/>
    <m/>
    <d v="2023-12-19T00:00:00"/>
    <m/>
    <x v="1"/>
    <m/>
    <s v="2023-12"/>
    <x v="2"/>
    <d v="2023-12-19T00:00:00"/>
    <x v="12"/>
    <s v="Moderate-Highly Likely"/>
    <s v="Moderate-Unlikely"/>
    <x v="0"/>
    <s v="Moderate"/>
    <s v="Highly Likely"/>
    <x v="2"/>
    <x v="0"/>
  </r>
  <r>
    <x v="18"/>
    <s v="sec19"/>
    <s v="sec19"/>
    <d v="2024-04-19T00:00:00"/>
    <s v="sec19"/>
    <s v="sec19"/>
    <x v="4"/>
    <m/>
    <s v="Information Technology (IT)"/>
    <m/>
    <m/>
    <s v="High"/>
    <n v="4"/>
    <s v="Highly Likely"/>
    <n v="5"/>
    <x v="1"/>
    <x v="9"/>
    <x v="1"/>
    <s v="blah17"/>
    <s v="Very Low"/>
    <n v="1"/>
    <s v="Likely"/>
    <n v="4"/>
    <x v="1"/>
    <x v="2"/>
    <x v="2"/>
    <m/>
    <d v="2023-12-12T00:00:00"/>
    <m/>
    <x v="1"/>
    <m/>
    <s v="2023-12"/>
    <x v="2"/>
    <d v="2023-12-12T00:00:00"/>
    <x v="13"/>
    <s v="High-Highly Likely"/>
    <s v="Very Low-Likely"/>
    <x v="0"/>
    <s v="High"/>
    <s v="Highly Likely"/>
    <x v="12"/>
    <x v="1"/>
  </r>
  <r>
    <x v="19"/>
    <s v="sec20"/>
    <s v="sec20"/>
    <d v="2024-12-20T00:00:00"/>
    <s v="sec20"/>
    <s v="sec20"/>
    <x v="4"/>
    <m/>
    <s v="Information Technology (IT)"/>
    <m/>
    <m/>
    <s v="Very High"/>
    <n v="5"/>
    <s v="Highly Likely"/>
    <n v="5"/>
    <x v="1"/>
    <x v="4"/>
    <x v="0"/>
    <m/>
    <s v="Very High"/>
    <n v="5"/>
    <s v="Highly Likely"/>
    <n v="5"/>
    <x v="2"/>
    <x v="6"/>
    <x v="1"/>
    <m/>
    <m/>
    <m/>
    <x v="0"/>
    <m/>
    <s v="Missing Risk Due Date"/>
    <x v="4"/>
    <d v="1899-12-30T00:00:00"/>
    <x v="0"/>
    <s v="Very High-Highly Likely"/>
    <s v="Very High-Highly Likely"/>
    <x v="0"/>
    <s v="Very High"/>
    <s v="Highly Likely"/>
    <x v="4"/>
    <x v="1"/>
  </r>
  <r>
    <x v="2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0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0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0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0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0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0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0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0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0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0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1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1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1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1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1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1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1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1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1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1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2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2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2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2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2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2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2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2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2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2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3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3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3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3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3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3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3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3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3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3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4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4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4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4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4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4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4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4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4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4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5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5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5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5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5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5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5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5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5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5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6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6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6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6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6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6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6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6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6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6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7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7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7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7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7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7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7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7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7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7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8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8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8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8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8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8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8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8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8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8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9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9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9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9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9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9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9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9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9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19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0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0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0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0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0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0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0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0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0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0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1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1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1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1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1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1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1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1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1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1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2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2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2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2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2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2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2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2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2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2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3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3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3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3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3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3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3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3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3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3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4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4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4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4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4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4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4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4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4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4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5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5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5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5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5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5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5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5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5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5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6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6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6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6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6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6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6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6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6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6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7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7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7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7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7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7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7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7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7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7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8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8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8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8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8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8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8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8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8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8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9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9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9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9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9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9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9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9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9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29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0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0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0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0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0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0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0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0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0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0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1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1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1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1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1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1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1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1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1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1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2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2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2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2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2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2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2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2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2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2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3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3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3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3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3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3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3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3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3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3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4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4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4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4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4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4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4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4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4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4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5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5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5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5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5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5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5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5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5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5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6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6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6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6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6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6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6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6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6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6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7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7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7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7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7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7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7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7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7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7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8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8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8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8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8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8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8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8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8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8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9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9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9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9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9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9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9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9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9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39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0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0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0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0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0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0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0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0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0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0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1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1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1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1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1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1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1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1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1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1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2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2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2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2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2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2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2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2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2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2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3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3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3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3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3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3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3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3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3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3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4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4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4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4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4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4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4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4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4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4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5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5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5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5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5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5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5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5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5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5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6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6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6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6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6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6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6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6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6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6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7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7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7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7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7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7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7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7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7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7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8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8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8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8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8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8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8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8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8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8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9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9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9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9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9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9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9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9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9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49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0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0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0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0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0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0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0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0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0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0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1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1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1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1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1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1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1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1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1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1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2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2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2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2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2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2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2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2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2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2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3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3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3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3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3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3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3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3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3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3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4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4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4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4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4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4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4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4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4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4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5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5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5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5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5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5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5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5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5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5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6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6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6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6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6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6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6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6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6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6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7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7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7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7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7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7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7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7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7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7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8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8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8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8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8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8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8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8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8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8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9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9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9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9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9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9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9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9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9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59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0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0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0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0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0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0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0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0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0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0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1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1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1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1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1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1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1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1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1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1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2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2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2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2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2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2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2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2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2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2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3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3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3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3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3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3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3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3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3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3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4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4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4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4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4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4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4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4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4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4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5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5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5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5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5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5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5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5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5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5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6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6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6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6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6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6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6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6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6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6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7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7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7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7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7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7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7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7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7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7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8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8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8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8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8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8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8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8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8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8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9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9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9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9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9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9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9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9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9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69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0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0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0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0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0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0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0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0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0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0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1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1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1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1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1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1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1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1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1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1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2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2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2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2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2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2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2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2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2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2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3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3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3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3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3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3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3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3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3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3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4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4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4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4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4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4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4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4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4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4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5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5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5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5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5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5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5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5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5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5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6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6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6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6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6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6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6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6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6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6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7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7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7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7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7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7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7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7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7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7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8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8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8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8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8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8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8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8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8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8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9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9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9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9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9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9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9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9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9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79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0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0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0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0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0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0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0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0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0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0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1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1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1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1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1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1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1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1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1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1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2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2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2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2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2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2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2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2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2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2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3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3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3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3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3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3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3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3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3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3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4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4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4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4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4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4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4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4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4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4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5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5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5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5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5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5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5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5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5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5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6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6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6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6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6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6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6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6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6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6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7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7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7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7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7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7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7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7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7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7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8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8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8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8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8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8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8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8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8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8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9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9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9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9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9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9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9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9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9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89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0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0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0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0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0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0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0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0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0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0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1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1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1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1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1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1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1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1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1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1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2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2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2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2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2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2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2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2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2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2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3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3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3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3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3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3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3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3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3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3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4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4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4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4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4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4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4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4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4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4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5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5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5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5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5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5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5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5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5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5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6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6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6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6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6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6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6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6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6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6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7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7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7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7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7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7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7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7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7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7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8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8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8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8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8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8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8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8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8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8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90"/>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91"/>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92"/>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93"/>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94"/>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95"/>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96"/>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97"/>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98"/>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r>
    <x v="999"/>
    <m/>
    <m/>
    <m/>
    <m/>
    <m/>
    <x v="8"/>
    <m/>
    <s v="-- select department --"/>
    <m/>
    <m/>
    <s v="-- Select Impact --"/>
    <s v="--- Error ---"/>
    <s v="-- Select Likelihood --"/>
    <s v="--- Error ---"/>
    <x v="3"/>
    <x v="10"/>
    <x v="2"/>
    <m/>
    <s v="-- Select Impact --"/>
    <s v="--- Error ---"/>
    <s v="-- Select Likelihood --"/>
    <s v="--- Error ---"/>
    <x v="3"/>
    <x v="7"/>
    <x v="3"/>
    <m/>
    <m/>
    <m/>
    <x v="0"/>
    <m/>
    <s v="Missing Risk Due Date"/>
    <x v="5"/>
    <d v="1899-12-30T00:00:00"/>
    <x v="0"/>
    <s v="-- Select Impact ----- Select Likelihood --"/>
    <s v="-- Select Impact ----- Select Likelihood --"/>
    <x v="2"/>
    <s v="-- Select Impact --"/>
    <s v="-- Select Likelihood --"/>
    <x v="1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ASK-001"/>
    <d v="2024-04-09T00:00:00"/>
    <s v="Implement New Firewall"/>
    <s v="Simple task description"/>
    <s v="Eve"/>
    <s v="Closed"/>
    <d v="2024-04-18T00:00:00"/>
    <s v="Pending review."/>
    <n v="1"/>
    <s v="Risk 1"/>
    <s v="No"/>
    <m/>
    <m/>
    <x v="0"/>
    <m/>
    <m/>
    <m/>
  </r>
  <r>
    <s v="TASK-002"/>
    <d v="2024-02-10T00:00:00"/>
    <s v="Update Documentation"/>
    <s v="Simple task description"/>
    <s v="Alice"/>
    <s v="Closed"/>
    <d v="2024-09-03T00:00:00"/>
    <s v="No comments"/>
    <n v="2"/>
    <s v="Risk 2"/>
    <s v="No"/>
    <m/>
    <m/>
    <x v="1"/>
    <m/>
    <m/>
    <m/>
  </r>
  <r>
    <s v="TASK-003"/>
    <d v="2024-02-09T00:00:00"/>
    <s v="Conduct Risk Assessment"/>
    <s v="Simple task description"/>
    <s v="Eve"/>
    <s v="In Progress"/>
    <d v="2024-07-31T00:00:00"/>
    <s v="Pending review."/>
    <n v="3"/>
    <s v="Risk 3"/>
    <s v="Yes"/>
    <m/>
    <m/>
    <x v="2"/>
    <m/>
    <m/>
    <m/>
  </r>
  <r>
    <s v="TASK-004"/>
    <d v="2024-04-09T00:00:00"/>
    <s v="Employee Training"/>
    <s v="Simple task description"/>
    <s v="Bob"/>
    <s v="In Progress"/>
    <d v="2024-04-27T00:00:00"/>
    <s v="Pending review."/>
    <n v="1"/>
    <s v="Risk 1"/>
    <s v="Yes"/>
    <m/>
    <m/>
    <x v="0"/>
    <m/>
    <m/>
    <m/>
  </r>
  <r>
    <s v="TASK-005"/>
    <d v="2024-02-27T00:00:00"/>
    <s v="Conduct Risk Assessment"/>
    <s v="Simple task description"/>
    <s v="Diana"/>
    <s v="Closed"/>
    <d v="2024-04-24T00:00:00"/>
    <s v="Pending review."/>
    <n v="2"/>
    <s v="Risk 2"/>
    <s v="No"/>
    <m/>
    <m/>
    <x v="1"/>
    <m/>
    <m/>
    <m/>
  </r>
  <r>
    <s v="TASK-006"/>
    <d v="2024-02-17T00:00:00"/>
    <s v="Conduct Risk Assessment"/>
    <s v="Simple task description"/>
    <s v="Bob"/>
    <s v="In Progress"/>
    <d v="2024-08-11T00:00:00"/>
    <s v="Pending review."/>
    <n v="4"/>
    <s v="Risk 4"/>
    <s v="Yes"/>
    <m/>
    <m/>
    <x v="3"/>
    <m/>
    <m/>
    <m/>
  </r>
  <r>
    <s v="TASK-007"/>
    <d v="2024-04-09T00:00:00"/>
    <s v="Review Security Policies"/>
    <s v="Simple task description"/>
    <s v="Alice"/>
    <s v="In Progress"/>
    <d v="2024-11-01T00:00:00"/>
    <s v="Pending review."/>
    <n v="1"/>
    <s v="Risk 1"/>
    <s v="Yes"/>
    <m/>
    <m/>
    <x v="0"/>
    <m/>
    <m/>
    <m/>
  </r>
  <r>
    <s v="TASK-008"/>
    <d v="2024-02-22T00:00:00"/>
    <s v="Update Documentation"/>
    <s v="Simple task description"/>
    <s v="Eve"/>
    <s v="On Hold"/>
    <d v="2024-08-11T00:00:00"/>
    <s v="Pending review."/>
    <n v="2"/>
    <s v="Risk 2"/>
    <s v="Yes"/>
    <m/>
    <m/>
    <x v="1"/>
    <m/>
    <m/>
    <m/>
  </r>
  <r>
    <s v="TASK-009"/>
    <d v="2024-02-21T00:00:00"/>
    <s v="Conduct Risk Assessment"/>
    <s v="Simple task description"/>
    <s v="Bob"/>
    <s v="Not Started"/>
    <d v="2024-02-07T00:00:00"/>
    <s v="Pending review."/>
    <n v="3"/>
    <s v="Risk 3"/>
    <s v="Yes"/>
    <m/>
    <m/>
    <x v="2"/>
    <m/>
    <m/>
    <m/>
  </r>
  <r>
    <s v="TASK-010"/>
    <d v="2024-04-09T00:00:00"/>
    <s v="Implement new tool"/>
    <s v="Simple task description"/>
    <s v="Charlie"/>
    <s v="Not Started"/>
    <d v="2024-08-26T00:00:00"/>
    <s v="Pending review."/>
    <n v="1"/>
    <s v="Risk 1"/>
    <s v="Yes"/>
    <m/>
    <m/>
    <x v="0"/>
    <m/>
    <m/>
    <m/>
  </r>
  <r>
    <s v="TASK-011"/>
    <d v="2024-02-04T00:00:00"/>
    <s v="Employee Training"/>
    <s v="Simple task description"/>
    <s v="Diana"/>
    <s v="On Hold"/>
    <d v="2024-08-20T00:00:00"/>
    <s v="No comments"/>
    <n v="2"/>
    <s v="Risk 2"/>
    <s v="Yes"/>
    <m/>
    <m/>
    <x v="1"/>
    <m/>
    <m/>
    <m/>
  </r>
  <r>
    <s v="TASK-012"/>
    <d v="2024-02-14T00:00:00"/>
    <s v="Implement new tool"/>
    <s v="Simple task description"/>
    <s v="Eve"/>
    <s v="In Progress"/>
    <d v="2024-02-21T00:00:00"/>
    <s v="No comments"/>
    <n v="3"/>
    <s v="Risk 3"/>
    <s v="Yes"/>
    <m/>
    <m/>
    <x v="2"/>
    <m/>
    <m/>
    <m/>
  </r>
  <r>
    <s v="TASK-013"/>
    <d v="2024-04-09T00:00:00"/>
    <s v="Implement new tool"/>
    <s v="Simple task description"/>
    <s v="Bob"/>
    <s v="Closed"/>
    <d v="2024-11-10T00:00:00"/>
    <s v="Pending review."/>
    <n v="1"/>
    <s v="Risk 1"/>
    <s v="No"/>
    <m/>
    <m/>
    <x v="0"/>
    <m/>
    <m/>
    <m/>
  </r>
  <r>
    <s v="TASK-014"/>
    <d v="2024-04-09T00:00:00"/>
    <s v="Implement new tool"/>
    <s v="Simple task description"/>
    <s v="Bob"/>
    <s v="Closed"/>
    <d v="2024-02-15T00:00:00"/>
    <s v="Pending review."/>
    <n v="1"/>
    <s v="Risk 1"/>
    <s v="No"/>
    <m/>
    <m/>
    <x v="0"/>
    <m/>
    <m/>
    <m/>
  </r>
  <r>
    <s v="TASK-015"/>
    <d v="2024-02-24T00:00:00"/>
    <s v="Employee Training"/>
    <s v="Simple task description"/>
    <s v="Alice"/>
    <s v="Closed"/>
    <d v="2024-10-12T00:00:00"/>
    <s v="Pending review."/>
    <n v="2"/>
    <s v="Risk 2"/>
    <s v="No"/>
    <m/>
    <m/>
    <x v="1"/>
    <m/>
    <m/>
    <m/>
  </r>
  <r>
    <s v="TASK-016"/>
    <d v="2024-02-26T00:00:00"/>
    <s v="Review Security Policies"/>
    <s v="Simple task description"/>
    <s v="Charlie"/>
    <s v="Not Started"/>
    <d v="2024-01-01T00:00:00"/>
    <s v="No comments"/>
    <n v="2"/>
    <s v="Risk 2"/>
    <s v="Yes"/>
    <m/>
    <m/>
    <x v="1"/>
    <m/>
    <m/>
    <m/>
  </r>
  <r>
    <s v="TASK-017"/>
    <d v="2024-02-27T00:00:00"/>
    <s v="Review Security Policies"/>
    <s v="Simple task description"/>
    <s v="Eve"/>
    <s v="On Hold"/>
    <d v="2024-11-02T00:00:00"/>
    <s v="Pending review."/>
    <n v="3"/>
    <s v="Risk 3"/>
    <s v="Yes"/>
    <m/>
    <m/>
    <x v="2"/>
    <m/>
    <m/>
    <m/>
  </r>
  <r>
    <s v="TASK-018"/>
    <d v="2024-02-04T00:00:00"/>
    <s v="Implement new tool"/>
    <s v="Simple task description"/>
    <s v="Eve"/>
    <s v="Closed"/>
    <d v="2024-02-26T00:00:00"/>
    <s v="Pending review."/>
    <n v="3"/>
    <s v="Risk 3"/>
    <s v="No"/>
    <m/>
    <m/>
    <x v="2"/>
    <m/>
    <m/>
    <m/>
  </r>
  <r>
    <s v="TASK-019"/>
    <d v="2024-04-09T00:00:00"/>
    <s v="Employee Training"/>
    <s v="Simple task description"/>
    <s v="Diana"/>
    <s v="Closed"/>
    <d v="2024-11-23T00:00:00"/>
    <s v="No comments"/>
    <n v="1"/>
    <s v="Risk 1"/>
    <s v="No"/>
    <m/>
    <m/>
    <x v="0"/>
    <m/>
    <m/>
    <m/>
  </r>
  <r>
    <s v="TASK-020"/>
    <d v="2024-02-03T00:00:00"/>
    <s v="Employee Training"/>
    <s v="Simple task description"/>
    <s v="Diana"/>
    <s v="In Progress"/>
    <d v="2024-06-14T00:00:00"/>
    <s v="Pending review."/>
    <n v="2"/>
    <s v="Risk 2"/>
    <s v="Yes"/>
    <m/>
    <m/>
    <x v="1"/>
    <m/>
    <m/>
    <m/>
  </r>
  <r>
    <s v="TASK-021"/>
    <m/>
    <m/>
    <m/>
    <m/>
    <m/>
    <m/>
    <m/>
    <m/>
    <s v="Error!"/>
    <s v="Error"/>
    <m/>
    <m/>
    <x v="4"/>
    <m/>
    <m/>
    <m/>
  </r>
  <r>
    <s v="TASK-022"/>
    <m/>
    <m/>
    <m/>
    <m/>
    <m/>
    <m/>
    <m/>
    <m/>
    <s v="Error!"/>
    <s v="Error"/>
    <m/>
    <m/>
    <x v="4"/>
    <m/>
    <m/>
    <m/>
  </r>
  <r>
    <s v="TASK-023"/>
    <m/>
    <m/>
    <m/>
    <m/>
    <m/>
    <m/>
    <m/>
    <m/>
    <s v="Error!"/>
    <s v="Error"/>
    <m/>
    <m/>
    <x v="4"/>
    <m/>
    <m/>
    <m/>
  </r>
  <r>
    <s v="TASK-024"/>
    <m/>
    <m/>
    <m/>
    <m/>
    <m/>
    <m/>
    <m/>
    <m/>
    <s v="Error!"/>
    <s v="Error"/>
    <m/>
    <m/>
    <x v="4"/>
    <m/>
    <m/>
    <m/>
  </r>
  <r>
    <s v="TASK-025"/>
    <m/>
    <m/>
    <m/>
    <m/>
    <m/>
    <m/>
    <m/>
    <m/>
    <s v="Error!"/>
    <s v="Error"/>
    <m/>
    <m/>
    <x v="4"/>
    <m/>
    <m/>
    <m/>
  </r>
  <r>
    <s v="TASK-026"/>
    <m/>
    <m/>
    <m/>
    <m/>
    <m/>
    <m/>
    <m/>
    <m/>
    <s v="Error!"/>
    <s v="Error"/>
    <m/>
    <m/>
    <x v="4"/>
    <m/>
    <m/>
    <m/>
  </r>
  <r>
    <s v="TASK-027"/>
    <m/>
    <m/>
    <m/>
    <m/>
    <m/>
    <m/>
    <m/>
    <m/>
    <s v="Error!"/>
    <s v="Error"/>
    <m/>
    <m/>
    <x v="4"/>
    <m/>
    <m/>
    <m/>
  </r>
  <r>
    <s v="TASK-028"/>
    <m/>
    <m/>
    <m/>
    <m/>
    <m/>
    <m/>
    <m/>
    <m/>
    <s v="Error!"/>
    <s v="Error"/>
    <m/>
    <m/>
    <x v="4"/>
    <m/>
    <m/>
    <m/>
  </r>
  <r>
    <s v="TASK-029"/>
    <m/>
    <m/>
    <m/>
    <m/>
    <m/>
    <m/>
    <m/>
    <m/>
    <s v="Error!"/>
    <s v="Error"/>
    <m/>
    <m/>
    <x v="4"/>
    <m/>
    <m/>
    <m/>
  </r>
  <r>
    <s v="TASK-030"/>
    <m/>
    <m/>
    <m/>
    <m/>
    <m/>
    <m/>
    <m/>
    <m/>
    <s v="Error!"/>
    <s v="Error"/>
    <m/>
    <m/>
    <x v="4"/>
    <m/>
    <m/>
    <m/>
  </r>
  <r>
    <s v="TASK-031"/>
    <m/>
    <m/>
    <m/>
    <m/>
    <m/>
    <m/>
    <m/>
    <m/>
    <s v="Error!"/>
    <s v="Error"/>
    <m/>
    <m/>
    <x v="4"/>
    <m/>
    <m/>
    <m/>
  </r>
  <r>
    <s v="TASK-032"/>
    <m/>
    <m/>
    <m/>
    <m/>
    <m/>
    <m/>
    <m/>
    <m/>
    <s v="Error!"/>
    <s v="Error"/>
    <m/>
    <m/>
    <x v="4"/>
    <m/>
    <m/>
    <m/>
  </r>
  <r>
    <s v="TASK-033"/>
    <m/>
    <m/>
    <m/>
    <m/>
    <m/>
    <m/>
    <m/>
    <m/>
    <s v="Error!"/>
    <s v="Error"/>
    <m/>
    <m/>
    <x v="4"/>
    <m/>
    <m/>
    <m/>
  </r>
  <r>
    <s v="TASK-034"/>
    <m/>
    <m/>
    <m/>
    <m/>
    <m/>
    <m/>
    <m/>
    <m/>
    <s v="Error!"/>
    <s v="Error"/>
    <m/>
    <m/>
    <x v="4"/>
    <m/>
    <m/>
    <m/>
  </r>
  <r>
    <s v="TASK-035"/>
    <m/>
    <m/>
    <m/>
    <m/>
    <m/>
    <m/>
    <m/>
    <m/>
    <s v="Error!"/>
    <s v="Error"/>
    <m/>
    <m/>
    <x v="4"/>
    <m/>
    <m/>
    <m/>
  </r>
  <r>
    <s v="TASK-036"/>
    <m/>
    <m/>
    <m/>
    <m/>
    <m/>
    <m/>
    <m/>
    <m/>
    <s v="Error!"/>
    <s v="Error"/>
    <m/>
    <m/>
    <x v="4"/>
    <m/>
    <m/>
    <m/>
  </r>
  <r>
    <s v="TASK-037"/>
    <m/>
    <m/>
    <m/>
    <m/>
    <m/>
    <m/>
    <m/>
    <m/>
    <s v="Error!"/>
    <s v="Error"/>
    <m/>
    <m/>
    <x v="4"/>
    <m/>
    <m/>
    <m/>
  </r>
  <r>
    <s v="TASK-038"/>
    <m/>
    <m/>
    <m/>
    <m/>
    <m/>
    <m/>
    <m/>
    <m/>
    <s v="Error!"/>
    <s v="Error"/>
    <m/>
    <m/>
    <x v="4"/>
    <m/>
    <m/>
    <m/>
  </r>
  <r>
    <s v="TASK-039"/>
    <m/>
    <m/>
    <m/>
    <m/>
    <m/>
    <m/>
    <m/>
    <m/>
    <s v="Error!"/>
    <s v="Error"/>
    <m/>
    <m/>
    <x v="4"/>
    <m/>
    <m/>
    <m/>
  </r>
  <r>
    <s v="TASK-040"/>
    <m/>
    <m/>
    <m/>
    <m/>
    <m/>
    <m/>
    <m/>
    <m/>
    <s v="Error!"/>
    <s v="Error"/>
    <m/>
    <m/>
    <x v="4"/>
    <m/>
    <m/>
    <m/>
  </r>
  <r>
    <s v="TASK-041"/>
    <m/>
    <m/>
    <m/>
    <m/>
    <m/>
    <m/>
    <m/>
    <m/>
    <s v="Error!"/>
    <s v="Error"/>
    <m/>
    <m/>
    <x v="4"/>
    <m/>
    <m/>
    <m/>
  </r>
  <r>
    <s v="TASK-042"/>
    <m/>
    <m/>
    <m/>
    <m/>
    <m/>
    <m/>
    <m/>
    <m/>
    <s v="Error!"/>
    <s v="Error"/>
    <m/>
    <m/>
    <x v="4"/>
    <m/>
    <m/>
    <m/>
  </r>
  <r>
    <s v="TASK-043"/>
    <m/>
    <m/>
    <m/>
    <m/>
    <m/>
    <m/>
    <m/>
    <m/>
    <s v="Error!"/>
    <s v="Error"/>
    <m/>
    <m/>
    <x v="4"/>
    <m/>
    <m/>
    <m/>
  </r>
  <r>
    <s v="TASK-044"/>
    <m/>
    <m/>
    <m/>
    <m/>
    <m/>
    <m/>
    <m/>
    <m/>
    <s v="Error!"/>
    <s v="Error"/>
    <m/>
    <m/>
    <x v="4"/>
    <m/>
    <m/>
    <m/>
  </r>
  <r>
    <s v="TASK-045"/>
    <m/>
    <m/>
    <m/>
    <m/>
    <m/>
    <m/>
    <m/>
    <m/>
    <s v="Error!"/>
    <s v="Error"/>
    <m/>
    <m/>
    <x v="4"/>
    <m/>
    <m/>
    <m/>
  </r>
  <r>
    <s v="TASK-046"/>
    <m/>
    <m/>
    <m/>
    <m/>
    <m/>
    <m/>
    <m/>
    <m/>
    <s v="Error!"/>
    <s v="Error"/>
    <m/>
    <m/>
    <x v="4"/>
    <m/>
    <m/>
    <m/>
  </r>
  <r>
    <s v="TASK-047"/>
    <m/>
    <m/>
    <m/>
    <m/>
    <m/>
    <m/>
    <m/>
    <m/>
    <s v="Error!"/>
    <s v="Error"/>
    <m/>
    <m/>
    <x v="4"/>
    <m/>
    <m/>
    <m/>
  </r>
  <r>
    <s v="TASK-048"/>
    <m/>
    <m/>
    <m/>
    <m/>
    <m/>
    <m/>
    <m/>
    <m/>
    <s v="Error!"/>
    <s v="Error"/>
    <m/>
    <m/>
    <x v="4"/>
    <m/>
    <m/>
    <m/>
  </r>
  <r>
    <s v="TASK-049"/>
    <m/>
    <m/>
    <m/>
    <m/>
    <m/>
    <m/>
    <m/>
    <m/>
    <s v="Error!"/>
    <s v="Error"/>
    <m/>
    <m/>
    <x v="4"/>
    <m/>
    <m/>
    <m/>
  </r>
  <r>
    <s v="TASK-050"/>
    <m/>
    <m/>
    <m/>
    <m/>
    <m/>
    <m/>
    <m/>
    <m/>
    <s v="Error!"/>
    <s v="Error"/>
    <m/>
    <m/>
    <x v="4"/>
    <m/>
    <m/>
    <m/>
  </r>
  <r>
    <s v="TASK-051"/>
    <m/>
    <m/>
    <m/>
    <m/>
    <m/>
    <m/>
    <m/>
    <m/>
    <s v="Error!"/>
    <s v="Error"/>
    <m/>
    <m/>
    <x v="4"/>
    <m/>
    <m/>
    <m/>
  </r>
  <r>
    <s v="TASK-052"/>
    <m/>
    <m/>
    <m/>
    <m/>
    <m/>
    <m/>
    <m/>
    <m/>
    <s v="Error!"/>
    <s v="Error"/>
    <m/>
    <m/>
    <x v="4"/>
    <m/>
    <m/>
    <m/>
  </r>
  <r>
    <s v="TASK-053"/>
    <m/>
    <m/>
    <m/>
    <m/>
    <m/>
    <m/>
    <m/>
    <m/>
    <s v="Error!"/>
    <s v="Error"/>
    <m/>
    <m/>
    <x v="4"/>
    <m/>
    <m/>
    <m/>
  </r>
  <r>
    <s v="TASK-054"/>
    <m/>
    <m/>
    <m/>
    <m/>
    <m/>
    <m/>
    <m/>
    <m/>
    <s v="Error!"/>
    <s v="Error"/>
    <m/>
    <m/>
    <x v="4"/>
    <m/>
    <m/>
    <m/>
  </r>
  <r>
    <s v="TASK-055"/>
    <m/>
    <m/>
    <m/>
    <m/>
    <m/>
    <m/>
    <m/>
    <m/>
    <s v="Error!"/>
    <s v="Error"/>
    <m/>
    <m/>
    <x v="4"/>
    <m/>
    <m/>
    <m/>
  </r>
  <r>
    <s v="TASK-056"/>
    <m/>
    <m/>
    <m/>
    <m/>
    <m/>
    <m/>
    <m/>
    <m/>
    <s v="Error!"/>
    <s v="Error"/>
    <m/>
    <m/>
    <x v="4"/>
    <m/>
    <m/>
    <m/>
  </r>
  <r>
    <s v="TASK-057"/>
    <m/>
    <m/>
    <m/>
    <m/>
    <m/>
    <m/>
    <m/>
    <m/>
    <s v="Error!"/>
    <s v="Error"/>
    <m/>
    <m/>
    <x v="4"/>
    <m/>
    <m/>
    <m/>
  </r>
  <r>
    <s v="TASK-058"/>
    <m/>
    <m/>
    <m/>
    <m/>
    <m/>
    <m/>
    <m/>
    <m/>
    <s v="Error!"/>
    <s v="Error"/>
    <m/>
    <m/>
    <x v="4"/>
    <m/>
    <m/>
    <m/>
  </r>
  <r>
    <s v="TASK-059"/>
    <m/>
    <m/>
    <m/>
    <m/>
    <m/>
    <m/>
    <m/>
    <m/>
    <s v="Error!"/>
    <s v="Error"/>
    <m/>
    <m/>
    <x v="4"/>
    <m/>
    <m/>
    <m/>
  </r>
  <r>
    <s v="TASK-060"/>
    <m/>
    <m/>
    <m/>
    <m/>
    <m/>
    <m/>
    <m/>
    <m/>
    <s v="Error!"/>
    <s v="Error"/>
    <m/>
    <m/>
    <x v="4"/>
    <m/>
    <m/>
    <m/>
  </r>
  <r>
    <s v="TASK-061"/>
    <m/>
    <m/>
    <m/>
    <m/>
    <m/>
    <m/>
    <m/>
    <m/>
    <s v="Error!"/>
    <s v="Error"/>
    <m/>
    <m/>
    <x v="4"/>
    <m/>
    <m/>
    <m/>
  </r>
  <r>
    <s v="TASK-062"/>
    <m/>
    <m/>
    <m/>
    <m/>
    <m/>
    <m/>
    <m/>
    <m/>
    <s v="Error!"/>
    <s v="Error"/>
    <m/>
    <m/>
    <x v="4"/>
    <m/>
    <m/>
    <m/>
  </r>
  <r>
    <s v="TASK-063"/>
    <m/>
    <m/>
    <m/>
    <m/>
    <m/>
    <m/>
    <m/>
    <m/>
    <s v="Error!"/>
    <s v="Error"/>
    <m/>
    <m/>
    <x v="4"/>
    <m/>
    <m/>
    <m/>
  </r>
  <r>
    <s v="TASK-064"/>
    <m/>
    <m/>
    <m/>
    <m/>
    <m/>
    <m/>
    <m/>
    <m/>
    <s v="Error!"/>
    <s v="Error"/>
    <m/>
    <m/>
    <x v="4"/>
    <m/>
    <m/>
    <m/>
  </r>
  <r>
    <s v="TASK-065"/>
    <m/>
    <m/>
    <m/>
    <m/>
    <m/>
    <m/>
    <m/>
    <m/>
    <s v="Error!"/>
    <s v="Error"/>
    <m/>
    <m/>
    <x v="4"/>
    <m/>
    <m/>
    <m/>
  </r>
  <r>
    <s v="TASK-066"/>
    <m/>
    <m/>
    <m/>
    <m/>
    <m/>
    <m/>
    <m/>
    <m/>
    <s v="Error!"/>
    <s v="Error"/>
    <m/>
    <m/>
    <x v="4"/>
    <m/>
    <m/>
    <m/>
  </r>
  <r>
    <s v="TASK-067"/>
    <m/>
    <m/>
    <m/>
    <m/>
    <m/>
    <m/>
    <m/>
    <m/>
    <s v="Error!"/>
    <s v="Error"/>
    <m/>
    <m/>
    <x v="4"/>
    <m/>
    <m/>
    <m/>
  </r>
  <r>
    <s v="TASK-068"/>
    <m/>
    <m/>
    <m/>
    <m/>
    <m/>
    <m/>
    <m/>
    <m/>
    <s v="Error!"/>
    <s v="Error"/>
    <m/>
    <m/>
    <x v="4"/>
    <m/>
    <m/>
    <m/>
  </r>
  <r>
    <s v="TASK-069"/>
    <m/>
    <m/>
    <m/>
    <m/>
    <m/>
    <m/>
    <m/>
    <m/>
    <s v="Error!"/>
    <s v="Error"/>
    <m/>
    <m/>
    <x v="4"/>
    <m/>
    <m/>
    <m/>
  </r>
  <r>
    <s v="TASK-070"/>
    <m/>
    <m/>
    <m/>
    <m/>
    <m/>
    <m/>
    <m/>
    <m/>
    <s v="Error!"/>
    <s v="Error"/>
    <m/>
    <m/>
    <x v="4"/>
    <m/>
    <m/>
    <m/>
  </r>
  <r>
    <s v="TASK-071"/>
    <m/>
    <m/>
    <m/>
    <m/>
    <m/>
    <m/>
    <m/>
    <m/>
    <s v="Error!"/>
    <s v="Error"/>
    <m/>
    <m/>
    <x v="4"/>
    <m/>
    <m/>
    <m/>
  </r>
  <r>
    <s v="TASK-072"/>
    <m/>
    <m/>
    <m/>
    <m/>
    <m/>
    <m/>
    <m/>
    <m/>
    <s v="Error!"/>
    <s v="Error"/>
    <m/>
    <m/>
    <x v="4"/>
    <m/>
    <m/>
    <m/>
  </r>
  <r>
    <s v="TASK-073"/>
    <m/>
    <m/>
    <m/>
    <m/>
    <m/>
    <m/>
    <m/>
    <m/>
    <s v="Error!"/>
    <s v="Error"/>
    <m/>
    <m/>
    <x v="4"/>
    <m/>
    <m/>
    <m/>
  </r>
  <r>
    <s v="TASK-074"/>
    <m/>
    <m/>
    <m/>
    <m/>
    <m/>
    <m/>
    <m/>
    <m/>
    <s v="Error!"/>
    <s v="Error"/>
    <m/>
    <m/>
    <x v="4"/>
    <m/>
    <m/>
    <m/>
  </r>
  <r>
    <s v="TASK-075"/>
    <m/>
    <m/>
    <m/>
    <m/>
    <m/>
    <m/>
    <m/>
    <m/>
    <s v="Error!"/>
    <s v="Error"/>
    <m/>
    <m/>
    <x v="4"/>
    <m/>
    <m/>
    <m/>
  </r>
  <r>
    <s v="TASK-076"/>
    <m/>
    <m/>
    <m/>
    <m/>
    <m/>
    <m/>
    <m/>
    <m/>
    <s v="Error!"/>
    <s v="Error"/>
    <m/>
    <m/>
    <x v="4"/>
    <m/>
    <m/>
    <m/>
  </r>
  <r>
    <s v="TASK-077"/>
    <m/>
    <m/>
    <m/>
    <m/>
    <m/>
    <m/>
    <m/>
    <m/>
    <s v="Error!"/>
    <s v="Error"/>
    <m/>
    <m/>
    <x v="4"/>
    <m/>
    <m/>
    <m/>
  </r>
  <r>
    <s v="TASK-078"/>
    <m/>
    <m/>
    <m/>
    <m/>
    <m/>
    <m/>
    <m/>
    <m/>
    <s v="Error!"/>
    <s v="Error"/>
    <m/>
    <m/>
    <x v="4"/>
    <m/>
    <m/>
    <m/>
  </r>
  <r>
    <s v="TASK-079"/>
    <m/>
    <m/>
    <m/>
    <m/>
    <m/>
    <m/>
    <m/>
    <m/>
    <s v="Error!"/>
    <s v="Error"/>
    <m/>
    <m/>
    <x v="4"/>
    <m/>
    <m/>
    <m/>
  </r>
  <r>
    <s v="TASK-080"/>
    <m/>
    <m/>
    <m/>
    <m/>
    <m/>
    <m/>
    <m/>
    <m/>
    <s v="Error!"/>
    <s v="Error"/>
    <m/>
    <m/>
    <x v="4"/>
    <m/>
    <m/>
    <m/>
  </r>
  <r>
    <s v="TASK-081"/>
    <m/>
    <m/>
    <m/>
    <m/>
    <m/>
    <m/>
    <m/>
    <m/>
    <s v="Error!"/>
    <s v="Error"/>
    <m/>
    <m/>
    <x v="4"/>
    <m/>
    <m/>
    <m/>
  </r>
  <r>
    <s v="TASK-082"/>
    <m/>
    <m/>
    <m/>
    <m/>
    <m/>
    <m/>
    <m/>
    <m/>
    <s v="Error!"/>
    <s v="Error"/>
    <m/>
    <m/>
    <x v="4"/>
    <m/>
    <m/>
    <m/>
  </r>
  <r>
    <s v="TASK-083"/>
    <m/>
    <m/>
    <m/>
    <m/>
    <m/>
    <m/>
    <m/>
    <m/>
    <s v="Error!"/>
    <s v="Error"/>
    <m/>
    <m/>
    <x v="4"/>
    <m/>
    <m/>
    <m/>
  </r>
  <r>
    <s v="TASK-084"/>
    <m/>
    <m/>
    <m/>
    <m/>
    <m/>
    <m/>
    <m/>
    <m/>
    <s v="Error!"/>
    <s v="Error"/>
    <m/>
    <m/>
    <x v="4"/>
    <m/>
    <m/>
    <m/>
  </r>
  <r>
    <s v="TASK-085"/>
    <m/>
    <m/>
    <m/>
    <m/>
    <m/>
    <m/>
    <m/>
    <m/>
    <s v="Error!"/>
    <s v="Error"/>
    <m/>
    <m/>
    <x v="4"/>
    <m/>
    <m/>
    <m/>
  </r>
  <r>
    <s v="TASK-086"/>
    <m/>
    <m/>
    <m/>
    <m/>
    <m/>
    <m/>
    <m/>
    <m/>
    <s v="Error!"/>
    <s v="Error"/>
    <m/>
    <m/>
    <x v="4"/>
    <m/>
    <m/>
    <m/>
  </r>
  <r>
    <s v="TASK-087"/>
    <m/>
    <m/>
    <m/>
    <m/>
    <m/>
    <m/>
    <m/>
    <m/>
    <s v="Error!"/>
    <s v="Error"/>
    <m/>
    <m/>
    <x v="4"/>
    <m/>
    <m/>
    <m/>
  </r>
  <r>
    <s v="TASK-088"/>
    <m/>
    <m/>
    <m/>
    <m/>
    <m/>
    <m/>
    <m/>
    <m/>
    <s v="Error!"/>
    <s v="Error"/>
    <m/>
    <m/>
    <x v="4"/>
    <m/>
    <m/>
    <m/>
  </r>
  <r>
    <s v="TASK-089"/>
    <m/>
    <m/>
    <m/>
    <m/>
    <m/>
    <m/>
    <m/>
    <m/>
    <s v="Error!"/>
    <s v="Error"/>
    <m/>
    <m/>
    <x v="4"/>
    <m/>
    <m/>
    <m/>
  </r>
  <r>
    <s v="TASK-090"/>
    <m/>
    <m/>
    <m/>
    <m/>
    <m/>
    <m/>
    <m/>
    <m/>
    <s v="Error!"/>
    <s v="Error"/>
    <m/>
    <m/>
    <x v="4"/>
    <m/>
    <m/>
    <m/>
  </r>
  <r>
    <s v="TASK-091"/>
    <m/>
    <m/>
    <m/>
    <m/>
    <m/>
    <m/>
    <m/>
    <m/>
    <s v="Error!"/>
    <e v="#REF!"/>
    <m/>
    <m/>
    <x v="4"/>
    <m/>
    <m/>
    <m/>
  </r>
  <r>
    <s v="TASK-092"/>
    <m/>
    <m/>
    <m/>
    <m/>
    <m/>
    <m/>
    <m/>
    <m/>
    <s v="Error!"/>
    <s v="Error"/>
    <m/>
    <m/>
    <x v="4"/>
    <m/>
    <m/>
    <m/>
  </r>
  <r>
    <s v="TASK-093"/>
    <m/>
    <m/>
    <m/>
    <m/>
    <m/>
    <m/>
    <m/>
    <m/>
    <s v="Error!"/>
    <s v="Error"/>
    <m/>
    <m/>
    <x v="4"/>
    <m/>
    <m/>
    <m/>
  </r>
  <r>
    <s v="TASK-094"/>
    <m/>
    <m/>
    <m/>
    <m/>
    <m/>
    <m/>
    <m/>
    <m/>
    <s v="Error!"/>
    <s v="Error"/>
    <m/>
    <m/>
    <x v="4"/>
    <m/>
    <m/>
    <m/>
  </r>
  <r>
    <s v="TASK-095"/>
    <m/>
    <m/>
    <m/>
    <m/>
    <m/>
    <m/>
    <m/>
    <m/>
    <s v="Error!"/>
    <s v="Error"/>
    <m/>
    <m/>
    <x v="4"/>
    <m/>
    <m/>
    <m/>
  </r>
  <r>
    <s v="TASK-096"/>
    <m/>
    <m/>
    <m/>
    <m/>
    <m/>
    <m/>
    <m/>
    <m/>
    <s v="Error!"/>
    <s v="Error"/>
    <m/>
    <m/>
    <x v="4"/>
    <m/>
    <m/>
    <m/>
  </r>
  <r>
    <s v="TASK-097"/>
    <m/>
    <m/>
    <m/>
    <m/>
    <m/>
    <m/>
    <m/>
    <m/>
    <s v="Error!"/>
    <s v="Error"/>
    <m/>
    <m/>
    <x v="4"/>
    <m/>
    <m/>
    <m/>
  </r>
  <r>
    <s v="TASK-098"/>
    <m/>
    <m/>
    <m/>
    <m/>
    <m/>
    <m/>
    <m/>
    <m/>
    <s v="Error!"/>
    <s v="Error"/>
    <m/>
    <m/>
    <x v="4"/>
    <m/>
    <m/>
    <m/>
  </r>
  <r>
    <s v="TASK-099"/>
    <m/>
    <m/>
    <m/>
    <m/>
    <m/>
    <m/>
    <m/>
    <m/>
    <s v="Error!"/>
    <s v="Error"/>
    <m/>
    <m/>
    <x v="4"/>
    <m/>
    <m/>
    <m/>
  </r>
  <r>
    <s v="TASK-100"/>
    <m/>
    <m/>
    <m/>
    <m/>
    <m/>
    <m/>
    <m/>
    <m/>
    <s v="Error!"/>
    <s v="Error"/>
    <m/>
    <m/>
    <x v="4"/>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660FCA-3347-4C29-B027-9381D488729A}" name="PivotTable10" cacheId="1" applyNumberFormats="0" applyBorderFormats="0" applyFontFormats="0" applyPatternFormats="0" applyAlignmentFormats="0" applyWidthHeightFormats="1" dataCaption="Values" updatedVersion="8" minRefreshableVersion="3" showDrill="0" rowGrandTotals="0" colGrandTotals="0" itemPrintTitles="1" createdVersion="8" indent="0" outline="1" outlineData="1" multipleFieldFilters="0" chartFormat="4" rowHeaderCaption="Risks">
  <location ref="B6:D10" firstHeaderRow="0" firstDataRow="1" firstDataCol="1"/>
  <pivotFields count="17">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0">
        <item h="1" x="4"/>
        <item m="1" x="5"/>
        <item m="1" x="6"/>
        <item m="1" x="7"/>
        <item m="1" x="8"/>
        <item x="0"/>
        <item x="1"/>
        <item x="2"/>
        <item x="3"/>
        <item t="default"/>
      </items>
    </pivotField>
    <pivotField showAll="0"/>
    <pivotField showAll="0"/>
    <pivotField showAll="0"/>
  </pivotFields>
  <rowFields count="1">
    <field x="13"/>
  </rowFields>
  <rowItems count="4">
    <i>
      <x v="5"/>
    </i>
    <i>
      <x v="6"/>
    </i>
    <i>
      <x v="7"/>
    </i>
    <i>
      <x v="8"/>
    </i>
  </rowItems>
  <colFields count="1">
    <field x="-2"/>
  </colFields>
  <colItems count="2">
    <i>
      <x/>
    </i>
    <i i="1">
      <x v="1"/>
    </i>
  </colItems>
  <dataFields count="2">
    <dataField name="Start" fld="1" subtotal="min" baseField="13" baseItem="1" numFmtId="165"/>
    <dataField name="Due" fld="6" subtotal="max" baseField="13" baseItem="2"/>
  </dataFields>
  <formats count="9">
    <format dxfId="203">
      <pivotArea collapsedLevelsAreSubtotals="1" fieldPosition="0">
        <references count="2">
          <reference field="4294967294" count="1" selected="0">
            <x v="1"/>
          </reference>
          <reference field="13" count="0"/>
        </references>
      </pivotArea>
    </format>
    <format dxfId="202">
      <pivotArea outline="0" collapsedLevelsAreSubtotals="1" fieldPosition="0">
        <references count="1">
          <reference field="4294967294" count="1" selected="0">
            <x v="0"/>
          </reference>
        </references>
      </pivotArea>
    </format>
    <format dxfId="201">
      <pivotArea outline="0" collapsedLevelsAreSubtotals="1" fieldPosition="0"/>
    </format>
    <format dxfId="200">
      <pivotArea dataOnly="0" labelOnly="1" outline="0" fieldPosition="0">
        <references count="1">
          <reference field="4294967294" count="2">
            <x v="0"/>
            <x v="1"/>
          </reference>
        </references>
      </pivotArea>
    </format>
    <format dxfId="199">
      <pivotArea type="all" dataOnly="0" outline="0" fieldPosition="0"/>
    </format>
    <format dxfId="198">
      <pivotArea outline="0" collapsedLevelsAreSubtotals="1" fieldPosition="0"/>
    </format>
    <format dxfId="197">
      <pivotArea field="13" type="button" dataOnly="0" labelOnly="1" outline="0" axis="axisRow" fieldPosition="0"/>
    </format>
    <format dxfId="196">
      <pivotArea dataOnly="0" labelOnly="1" fieldPosition="0">
        <references count="1">
          <reference field="13" count="0"/>
        </references>
      </pivotArea>
    </format>
    <format dxfId="195">
      <pivotArea dataOnly="0" labelOnly="1" outline="0" fieldPosition="0">
        <references count="1">
          <reference field="4294967294" count="2">
            <x v="0"/>
            <x v="1"/>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1B4D4B-F00F-4E50-9A35-14CC4442D9DA}" name="PivotTable14" cacheId="0"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rowHeaderCaption="Risk Status" colHeaderCaption="Risk Response Strategy">
  <location ref="B126:C129" firstHeaderRow="1" firstDataRow="1" firstDataCol="1" rowPageCount="1" colPageCount="1"/>
  <pivotFields count="4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axis="axisPage" multipleItemSelectionAllowed="1" showAll="0">
      <items count="6">
        <item h="1" x="3"/>
        <item h="1" x="0"/>
        <item m="1" x="4"/>
        <item x="2"/>
        <item h="1" x="1"/>
        <item t="default"/>
      </items>
    </pivotField>
    <pivotField showAll="0"/>
    <pivotField showAll="0"/>
    <pivotField showAll="0"/>
    <pivotField axis="axisRow" showAll="0">
      <items count="4">
        <item x="0"/>
        <item x="1"/>
        <item x="2"/>
        <item t="default"/>
      </items>
    </pivotField>
    <pivotField showAll="0"/>
    <pivotField showAll="0"/>
    <pivotField showAll="0"/>
    <pivotField numFmtId="167" showAll="0"/>
    <pivotField numFmtId="167" showAll="0">
      <items count="15">
        <item x="4"/>
        <item x="3"/>
        <item x="13"/>
        <item x="12"/>
        <item x="8"/>
        <item x="2"/>
        <item x="11"/>
        <item x="1"/>
        <item x="9"/>
        <item x="5"/>
        <item x="6"/>
        <item x="7"/>
        <item x="10"/>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9"/>
  </rowFields>
  <rowItems count="3">
    <i>
      <x v="1"/>
    </i>
    <i>
      <x v="2"/>
    </i>
    <i t="grand">
      <x/>
    </i>
  </rowItems>
  <colItems count="1">
    <i/>
  </colItems>
  <pageFields count="1">
    <pageField fld="25" hier="-1"/>
  </pageFields>
  <dataFields count="1">
    <dataField name="Count of Risk ID" fld="0" subtotal="count" baseField="30" baseItem="0"/>
  </dataFields>
  <formats count="11">
    <format dxfId="67">
      <pivotArea type="all" dataOnly="0" outline="0" fieldPosition="0"/>
    </format>
    <format dxfId="66">
      <pivotArea type="origin" dataOnly="0" labelOnly="1" outline="0" fieldPosition="0"/>
    </format>
    <format dxfId="65">
      <pivotArea field="17" type="button" dataOnly="0" labelOnly="1" outline="0"/>
    </format>
    <format dxfId="64">
      <pivotArea type="topRight" dataOnly="0" labelOnly="1" outline="0" fieldPosition="0"/>
    </format>
    <format dxfId="63">
      <pivotArea field="25" type="button" dataOnly="0" labelOnly="1" outline="0" axis="axisPage" fieldPosition="0"/>
    </format>
    <format dxfId="62">
      <pivotArea dataOnly="0" labelOnly="1" fieldPosition="0">
        <references count="1">
          <reference field="25" count="0"/>
        </references>
      </pivotArea>
    </format>
    <format dxfId="61">
      <pivotArea dataOnly="0" labelOnly="1" grandRow="1" outline="0" fieldPosition="0"/>
    </format>
    <format dxfId="60">
      <pivotArea outline="0" collapsedLevelsAreSubtotals="1" fieldPosition="0"/>
    </format>
    <format dxfId="59">
      <pivotArea dataOnly="0" labelOnly="1" grandCol="1" outline="0" fieldPosition="0"/>
    </format>
    <format dxfId="58">
      <pivotArea outline="0" collapsedLevelsAreSubtotals="1" fieldPosition="0"/>
    </format>
    <format dxfId="5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1C5B56-DD03-4FB0-AF0C-8E326FFFFE52}" name="PivotTable6" cacheId="0"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chartFormat="1" rowHeaderCaption="Inherent Risk Rating">
  <location ref="E7:F18" firstHeaderRow="1" firstDataRow="1" firstDataCol="1"/>
  <pivotFields count="4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m="1" x="5"/>
        <item x="1"/>
        <item x="2"/>
        <item x="0"/>
        <item m="1" x="4"/>
        <item x="3"/>
        <item t="default"/>
      </items>
    </pivotField>
    <pivotField axis="axisRow" showAll="0">
      <items count="14">
        <item m="1" x="12"/>
        <item x="7"/>
        <item x="5"/>
        <item x="0"/>
        <item m="1" x="11"/>
        <item x="1"/>
        <item x="8"/>
        <item x="6"/>
        <item x="2"/>
        <item x="3"/>
        <item x="9"/>
        <item x="4"/>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numFmtId="167" showAll="0">
      <items count="15">
        <item x="4"/>
        <item x="3"/>
        <item x="13"/>
        <item x="12"/>
        <item x="8"/>
        <item x="2"/>
        <item x="11"/>
        <item x="1"/>
        <item x="9"/>
        <item x="5"/>
        <item x="6"/>
        <item x="7"/>
        <item x="10"/>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6"/>
  </rowFields>
  <rowItems count="11">
    <i>
      <x v="1"/>
    </i>
    <i>
      <x v="2"/>
    </i>
    <i>
      <x v="3"/>
    </i>
    <i>
      <x v="5"/>
    </i>
    <i>
      <x v="6"/>
    </i>
    <i>
      <x v="7"/>
    </i>
    <i>
      <x v="8"/>
    </i>
    <i>
      <x v="9"/>
    </i>
    <i>
      <x v="10"/>
    </i>
    <i>
      <x v="11"/>
    </i>
    <i t="grand">
      <x/>
    </i>
  </rowItems>
  <colItems count="1">
    <i/>
  </colItems>
  <dataFields count="1">
    <dataField name="Count" fld="0" subtotal="count" baseField="24" baseItem="0"/>
  </dataFields>
  <formats count="5">
    <format dxfId="72">
      <pivotArea type="all" dataOnly="0" outline="0" fieldPosition="0"/>
    </format>
    <format dxfId="71">
      <pivotArea outline="0" collapsedLevelsAreSubtotals="1" fieldPosition="0"/>
    </format>
    <format dxfId="70">
      <pivotArea field="15" type="button" dataOnly="0" labelOnly="1" outline="0"/>
    </format>
    <format dxfId="69">
      <pivotArea dataOnly="0" labelOnly="1" grandRow="1" outline="0" fieldPosition="0"/>
    </format>
    <format dxfId="6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3EACA5-6708-48C6-89A5-41A692744FBF}" name="PivotTable3" cacheId="0"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rowHeaderCaption="Risk Status">
  <location ref="B82:C86" firstHeaderRow="1" firstDataRow="1" firstDataCol="1"/>
  <pivotFields count="4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3"/>
        <item x="0"/>
        <item m="1" x="4"/>
        <item x="2"/>
        <item x="1"/>
        <item t="default"/>
      </items>
    </pivotField>
    <pivotField showAll="0"/>
    <pivotField showAll="0"/>
    <pivotField showAll="0"/>
    <pivotField showAll="0"/>
    <pivotField showAll="0"/>
    <pivotField showAll="0"/>
    <pivotField showAll="0"/>
    <pivotField numFmtId="167" showAll="0"/>
    <pivotField numFmtId="167" showAll="0">
      <items count="15">
        <item x="4"/>
        <item x="3"/>
        <item x="13"/>
        <item x="12"/>
        <item x="8"/>
        <item x="2"/>
        <item x="11"/>
        <item x="1"/>
        <item x="9"/>
        <item x="5"/>
        <item x="6"/>
        <item x="7"/>
        <item x="10"/>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5"/>
  </rowFields>
  <rowItems count="4">
    <i>
      <x v="1"/>
    </i>
    <i>
      <x v="3"/>
    </i>
    <i>
      <x v="4"/>
    </i>
    <i t="grand">
      <x/>
    </i>
  </rowItems>
  <colItems count="1">
    <i/>
  </colItems>
  <dataFields count="1">
    <dataField name="Count" fld="0" subtotal="count" baseField="24" baseItem="0"/>
  </dataFields>
  <formats count="6">
    <format dxfId="78">
      <pivotArea type="all" dataOnly="0" outline="0" fieldPosition="0"/>
    </format>
    <format dxfId="77">
      <pivotArea outline="0" collapsedLevelsAreSubtotals="1" fieldPosition="0"/>
    </format>
    <format dxfId="76">
      <pivotArea field="25" type="button" dataOnly="0" labelOnly="1" outline="0" axis="axisRow" fieldPosition="0"/>
    </format>
    <format dxfId="75">
      <pivotArea dataOnly="0" labelOnly="1" fieldPosition="0">
        <references count="1">
          <reference field="25" count="0"/>
        </references>
      </pivotArea>
    </format>
    <format dxfId="74">
      <pivotArea dataOnly="0" labelOnly="1" grandRow="1" outline="0" fieldPosition="0"/>
    </format>
    <format dxfId="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C28A7B-34DF-46D0-8D74-268D928150FB}" name="PivotTable2" cacheId="0"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rowHeaderCaption="Residual Risk Level">
  <location ref="B25:C30" firstHeaderRow="1" firstDataRow="1" firstDataCol="1"/>
  <pivotFields count="4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m="1" x="5"/>
        <item x="2"/>
        <item x="0"/>
        <item x="1"/>
        <item m="1" x="4"/>
        <item x="3"/>
        <item t="default"/>
      </items>
    </pivotField>
    <pivotField showAll="0"/>
    <pivotField showAll="0"/>
    <pivotField showAll="0"/>
    <pivotField showAll="0"/>
    <pivotField showAll="0"/>
    <pivotField showAll="0"/>
    <pivotField showAll="0"/>
    <pivotField showAll="0"/>
    <pivotField showAll="0"/>
    <pivotField numFmtId="167" showAll="0"/>
    <pivotField numFmtId="167" showAll="0">
      <items count="15">
        <item x="4"/>
        <item x="3"/>
        <item x="13"/>
        <item x="12"/>
        <item x="8"/>
        <item x="2"/>
        <item x="11"/>
        <item x="1"/>
        <item x="9"/>
        <item x="5"/>
        <item x="6"/>
        <item x="7"/>
        <item x="10"/>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3"/>
  </rowFields>
  <rowItems count="5">
    <i>
      <x v="1"/>
    </i>
    <i>
      <x v="2"/>
    </i>
    <i>
      <x v="3"/>
    </i>
    <i>
      <x v="5"/>
    </i>
    <i t="grand">
      <x/>
    </i>
  </rowItems>
  <colItems count="1">
    <i/>
  </colItems>
  <dataFields count="1">
    <dataField name="Count" fld="0" subtotal="count" baseField="24" baseItem="0"/>
  </dataFields>
  <formats count="6">
    <format dxfId="84">
      <pivotArea type="all" dataOnly="0" outline="0" fieldPosition="0"/>
    </format>
    <format dxfId="83">
      <pivotArea outline="0" collapsedLevelsAreSubtotals="1" fieldPosition="0"/>
    </format>
    <format dxfId="82">
      <pivotArea field="23" type="button" dataOnly="0" labelOnly="1" outline="0" axis="axisRow" fieldPosition="0"/>
    </format>
    <format dxfId="81">
      <pivotArea dataOnly="0" labelOnly="1" fieldPosition="0">
        <references count="1">
          <reference field="23" count="0"/>
        </references>
      </pivotArea>
    </format>
    <format dxfId="80">
      <pivotArea dataOnly="0" labelOnly="1" grandRow="1" outline="0" fieldPosition="0"/>
    </format>
    <format dxfId="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2642B3-E06C-4AD2-8C2C-1A1EC4D75162}" name="PivotTable10" cacheId="0"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chartFormat="6" rowHeaderCaption="Risk Status">
  <location ref="B61:C64" firstHeaderRow="1" firstDataRow="1" firstDataCol="1"/>
  <pivotFields count="4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items count="6">
        <item h="1" x="3"/>
        <item x="0"/>
        <item m="1" x="4"/>
        <item x="2"/>
        <item x="1"/>
        <item t="default"/>
      </items>
    </pivotField>
    <pivotField showAll="0"/>
    <pivotField showAll="0"/>
    <pivotField showAll="0"/>
    <pivotField showAll="0"/>
    <pivotField showAll="0"/>
    <pivotField showAll="0"/>
    <pivotField showAll="0"/>
    <pivotField numFmtId="167" showAll="0"/>
    <pivotField numFmtId="167" showAll="0">
      <items count="15">
        <item x="4"/>
        <item x="3"/>
        <item x="13"/>
        <item x="12"/>
        <item x="8"/>
        <item x="2"/>
        <item x="11"/>
        <item x="1"/>
        <item x="9"/>
        <item x="5"/>
        <item x="6"/>
        <item x="7"/>
        <item x="10"/>
        <item x="0"/>
        <item t="default"/>
      </items>
    </pivotField>
    <pivotField showAll="0"/>
    <pivotField showAll="0"/>
    <pivotField showAll="0"/>
    <pivotField showAll="0"/>
    <pivotField showAll="0"/>
    <pivotField showAll="0"/>
    <pivotField axis="axisRow" showAll="0">
      <items count="5">
        <item h="1" x="3"/>
        <item x="1"/>
        <item h="1"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41"/>
  </rowFields>
  <rowItems count="3">
    <i>
      <x v="1"/>
    </i>
    <i>
      <x v="3"/>
    </i>
    <i t="grand">
      <x/>
    </i>
  </rowItems>
  <colItems count="1">
    <i/>
  </colItems>
  <dataFields count="1">
    <dataField name="Count" fld="0" subtotal="count" baseField="24" baseItem="0"/>
  </dataFields>
  <formats count="5">
    <format dxfId="89">
      <pivotArea type="all" dataOnly="0" outline="0" fieldPosition="0"/>
    </format>
    <format dxfId="88">
      <pivotArea outline="0" collapsedLevelsAreSubtotals="1" fieldPosition="0"/>
    </format>
    <format dxfId="87">
      <pivotArea field="25" type="button" dataOnly="0" labelOnly="1" outline="0"/>
    </format>
    <format dxfId="86">
      <pivotArea dataOnly="0" labelOnly="1" grandRow="1" outline="0" fieldPosition="0"/>
    </format>
    <format dxfId="85">
      <pivotArea dataOnly="0" labelOnly="1" outline="0" axis="axisValues" fieldPosition="0"/>
    </format>
  </formats>
  <chartFormats count="4">
    <chartFormat chart="0" format="4"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7046D2-6083-4D90-8F9A-4F11DD81842B}" name="PivotTable7" cacheId="0"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rowHeaderCaption="Residual Risk Rating">
  <location ref="E25:F32" firstHeaderRow="1" firstDataRow="1" firstDataCol="1"/>
  <pivotFields count="4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m="1" x="5"/>
        <item x="2"/>
        <item x="0"/>
        <item x="1"/>
        <item m="1" x="4"/>
        <item x="3"/>
        <item t="default"/>
      </items>
    </pivotField>
    <pivotField axis="axisRow" showAll="0">
      <items count="9">
        <item x="3"/>
        <item x="2"/>
        <item x="0"/>
        <item x="5"/>
        <item x="1"/>
        <item x="6"/>
        <item h="1" x="7"/>
        <item h="1" x="4"/>
        <item t="default"/>
      </items>
    </pivotField>
    <pivotField showAll="0"/>
    <pivotField showAll="0"/>
    <pivotField showAll="0"/>
    <pivotField showAll="0"/>
    <pivotField showAll="0"/>
    <pivotField showAll="0"/>
    <pivotField showAll="0"/>
    <pivotField showAll="0"/>
    <pivotField numFmtId="167" showAll="0"/>
    <pivotField numFmtId="167" showAll="0">
      <items count="15">
        <item x="4"/>
        <item x="3"/>
        <item x="13"/>
        <item x="12"/>
        <item x="8"/>
        <item x="2"/>
        <item x="11"/>
        <item x="1"/>
        <item x="9"/>
        <item x="5"/>
        <item x="6"/>
        <item x="7"/>
        <item x="10"/>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4"/>
  </rowFields>
  <rowItems count="7">
    <i>
      <x/>
    </i>
    <i>
      <x v="1"/>
    </i>
    <i>
      <x v="2"/>
    </i>
    <i>
      <x v="3"/>
    </i>
    <i>
      <x v="4"/>
    </i>
    <i>
      <x v="5"/>
    </i>
    <i t="grand">
      <x/>
    </i>
  </rowItems>
  <colItems count="1">
    <i/>
  </colItems>
  <dataFields count="1">
    <dataField name="Count" fld="0" subtotal="count" baseField="24" baseItem="0"/>
  </dataFields>
  <formats count="5">
    <format dxfId="94">
      <pivotArea type="all" dataOnly="0" outline="0" fieldPosition="0"/>
    </format>
    <format dxfId="93">
      <pivotArea outline="0" collapsedLevelsAreSubtotals="1" fieldPosition="0"/>
    </format>
    <format dxfId="92">
      <pivotArea field="23" type="button" dataOnly="0" labelOnly="1" outline="0"/>
    </format>
    <format dxfId="91">
      <pivotArea dataOnly="0" labelOnly="1" grandRow="1" outline="0" fieldPosition="0"/>
    </format>
    <format dxfId="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4A8E93-8628-4493-8BDE-8897E69DBEA5}" name="PivotTable16" cacheId="0"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chartFormat="1" rowHeaderCaption="Created Month">
  <location ref="B211:C218" firstHeaderRow="1" firstDataRow="1" firstDataCol="1"/>
  <pivotFields count="4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m="1" x="5"/>
        <item x="1"/>
        <item x="2"/>
        <item x="0"/>
        <item m="1" x="4"/>
        <item x="3"/>
        <item t="default"/>
      </items>
    </pivotField>
    <pivotField showAll="0"/>
    <pivotField showAll="0"/>
    <pivotField showAll="0"/>
    <pivotField showAll="0"/>
    <pivotField showAll="0"/>
    <pivotField showAll="0"/>
    <pivotField showAll="0"/>
    <pivotField showAll="0"/>
    <pivotField showAll="0"/>
    <pivotField multipleItemSelectionAllowed="1" showAll="0"/>
    <pivotField showAll="0"/>
    <pivotField showAll="0"/>
    <pivotField showAll="0"/>
    <pivotField showAll="0"/>
    <pivotField showAll="0"/>
    <pivotField showAll="0"/>
    <pivotField axis="axisRow" showAll="0">
      <items count="7">
        <item x="5"/>
        <item x="0"/>
        <item x="2"/>
        <item x="1"/>
        <item x="3"/>
        <item x="4"/>
        <item t="default"/>
      </items>
    </pivotField>
    <pivotField numFmtId="167" showAll="0"/>
    <pivotField numFmtId="167" showAll="0">
      <items count="15">
        <item x="4"/>
        <item x="3"/>
        <item x="13"/>
        <item x="12"/>
        <item x="8"/>
        <item x="2"/>
        <item x="11"/>
        <item x="1"/>
        <item x="9"/>
        <item x="5"/>
        <item x="6"/>
        <item x="7"/>
        <item x="10"/>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32"/>
  </rowFields>
  <rowItems count="7">
    <i>
      <x/>
    </i>
    <i>
      <x v="1"/>
    </i>
    <i>
      <x v="2"/>
    </i>
    <i>
      <x v="3"/>
    </i>
    <i>
      <x v="4"/>
    </i>
    <i>
      <x v="5"/>
    </i>
    <i t="grand">
      <x/>
    </i>
  </rowItems>
  <colItems count="1">
    <i/>
  </colItems>
  <dataFields count="1">
    <dataField name="Count" fld="0" subtotal="count" baseField="24" baseItem="0"/>
  </dataFields>
  <formats count="5">
    <format dxfId="99">
      <pivotArea type="all" dataOnly="0" outline="0" fieldPosition="0"/>
    </format>
    <format dxfId="98">
      <pivotArea outline="0" collapsedLevelsAreSubtotals="1" fieldPosition="0"/>
    </format>
    <format dxfId="97">
      <pivotArea field="15" type="button" dataOnly="0" labelOnly="1" outline="0"/>
    </format>
    <format dxfId="96">
      <pivotArea dataOnly="0" labelOnly="1" grandRow="1" outline="0" fieldPosition="0"/>
    </format>
    <format dxfId="9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5ABCEA-9E79-496C-9D4D-BC0D527247E9}" name="PivotTable13" cacheId="0"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chartFormat="17" rowHeaderCaption="Risk Status" colHeaderCaption="Risk Response Strategy">
  <location ref="B189:C198" firstHeaderRow="1" firstDataRow="1" firstDataCol="1" rowPageCount="1" colPageCount="1"/>
  <pivotFields count="45">
    <pivotField dataField="1" showAll="0"/>
    <pivotField showAll="0"/>
    <pivotField showAll="0"/>
    <pivotField showAll="0"/>
    <pivotField showAll="0"/>
    <pivotField showAll="0"/>
    <pivotField axis="axisRow" showAll="0" sortType="ascending">
      <items count="10">
        <item h="1" x="8"/>
        <item x="0"/>
        <item x="6"/>
        <item x="2"/>
        <item x="7"/>
        <item x="1"/>
        <item x="5"/>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axis="axisPage" multipleItemSelectionAllowed="1" showAll="0">
      <items count="6">
        <item h="1" x="3"/>
        <item x="0"/>
        <item m="1" x="4"/>
        <item x="2"/>
        <item h="1" x="1"/>
        <item t="default"/>
      </items>
    </pivotField>
    <pivotField showAll="0"/>
    <pivotField showAll="0"/>
    <pivotField showAll="0"/>
    <pivotField showAll="0"/>
    <pivotField showAll="0"/>
    <pivotField showAll="0"/>
    <pivotField showAll="0"/>
    <pivotField numFmtId="167" showAll="0"/>
    <pivotField numFmtId="167" showAll="0">
      <items count="15">
        <item x="4"/>
        <item x="3"/>
        <item x="13"/>
        <item x="12"/>
        <item x="8"/>
        <item x="2"/>
        <item x="11"/>
        <item x="1"/>
        <item x="9"/>
        <item x="5"/>
        <item x="6"/>
        <item x="7"/>
        <item x="10"/>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6"/>
  </rowFields>
  <rowItems count="9">
    <i>
      <x v="5"/>
    </i>
    <i>
      <x v="4"/>
    </i>
    <i>
      <x v="2"/>
    </i>
    <i>
      <x v="6"/>
    </i>
    <i>
      <x v="1"/>
    </i>
    <i>
      <x v="7"/>
    </i>
    <i>
      <x v="3"/>
    </i>
    <i>
      <x v="8"/>
    </i>
    <i t="grand">
      <x/>
    </i>
  </rowItems>
  <colItems count="1">
    <i/>
  </colItems>
  <pageFields count="1">
    <pageField fld="25" hier="-1"/>
  </pageFields>
  <dataFields count="1">
    <dataField name="Count" fld="0" subtotal="count" baseField="24" baseItem="0"/>
  </dataFields>
  <formats count="10">
    <format dxfId="109">
      <pivotArea type="all" dataOnly="0" outline="0" fieldPosition="0"/>
    </format>
    <format dxfId="108">
      <pivotArea type="origin" dataOnly="0" labelOnly="1" outline="0" fieldPosition="0"/>
    </format>
    <format dxfId="107">
      <pivotArea field="17" type="button" dataOnly="0" labelOnly="1" outline="0"/>
    </format>
    <format dxfId="106">
      <pivotArea type="topRight" dataOnly="0" labelOnly="1" outline="0" fieldPosition="0"/>
    </format>
    <format dxfId="105">
      <pivotArea field="25" type="button" dataOnly="0" labelOnly="1" outline="0" axis="axisPage" fieldPosition="0"/>
    </format>
    <format dxfId="104">
      <pivotArea dataOnly="0" labelOnly="1" grandRow="1" outline="0" fieldPosition="0"/>
    </format>
    <format dxfId="103">
      <pivotArea outline="0" collapsedLevelsAreSubtotals="1" fieldPosition="0"/>
    </format>
    <format dxfId="102">
      <pivotArea dataOnly="0" labelOnly="1" grandCol="1" outline="0" fieldPosition="0"/>
    </format>
    <format dxfId="101">
      <pivotArea outline="0" collapsedLevelsAreSubtotals="1" fieldPosition="0"/>
    </format>
    <format dxfId="100">
      <pivotArea dataOnly="0" labelOnly="1" grandCol="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D7342C-DFA2-4379-B8FB-05CE48537A81}" name="PivotTable5" cacheId="0"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chartFormat="13" rowHeaderCaption="Risk Status">
  <location ref="B48:C52" firstHeaderRow="1" firstDataRow="1" firstDataCol="1"/>
  <pivotFields count="4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3"/>
        <item x="0"/>
        <item m="1" x="4"/>
        <item x="2"/>
        <item x="1"/>
        <item t="default"/>
      </items>
    </pivotField>
    <pivotField showAll="0"/>
    <pivotField showAll="0"/>
    <pivotField showAll="0"/>
    <pivotField showAll="0"/>
    <pivotField showAll="0"/>
    <pivotField showAll="0"/>
    <pivotField showAll="0"/>
    <pivotField numFmtId="167" showAll="0"/>
    <pivotField numFmtId="167" showAll="0">
      <items count="15">
        <item x="4"/>
        <item x="3"/>
        <item x="13"/>
        <item x="12"/>
        <item x="8"/>
        <item x="2"/>
        <item x="11"/>
        <item x="1"/>
        <item x="9"/>
        <item x="5"/>
        <item x="6"/>
        <item x="7"/>
        <item x="10"/>
        <item x="0"/>
        <item t="default"/>
      </items>
    </pivotField>
    <pivotField showAll="0"/>
    <pivotField showAll="0"/>
    <pivotField showAll="0"/>
    <pivotField showAll="0"/>
    <pivotField showAll="0"/>
    <pivotField showAll="0"/>
    <pivotField axis="axisRow" showAll="0">
      <items count="5">
        <item h="1" x="3"/>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41"/>
  </rowFields>
  <rowItems count="4">
    <i>
      <x v="1"/>
    </i>
    <i>
      <x v="2"/>
    </i>
    <i>
      <x v="3"/>
    </i>
    <i t="grand">
      <x/>
    </i>
  </rowItems>
  <colItems count="1">
    <i/>
  </colItems>
  <dataFields count="1">
    <dataField name="Count" fld="0" subtotal="count" baseField="24" baseItem="0"/>
  </dataFields>
  <formats count="5">
    <format dxfId="114">
      <pivotArea type="all" dataOnly="0" outline="0" fieldPosition="0"/>
    </format>
    <format dxfId="113">
      <pivotArea outline="0" collapsedLevelsAreSubtotals="1" fieldPosition="0"/>
    </format>
    <format dxfId="112">
      <pivotArea field="25" type="button" dataOnly="0" labelOnly="1" outline="0"/>
    </format>
    <format dxfId="111">
      <pivotArea dataOnly="0" labelOnly="1" grandRow="1" outline="0" fieldPosition="0"/>
    </format>
    <format dxfId="110">
      <pivotArea dataOnly="0" labelOnly="1" outline="0" axis="axisValues" fieldPosition="0"/>
    </format>
  </formats>
  <chartFormats count="11">
    <chartFormat chart="0" format="4"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1" count="1" selected="0">
            <x v="1"/>
          </reference>
        </references>
      </pivotArea>
    </chartFormat>
    <chartFormat chart="3" format="6">
      <pivotArea type="data" outline="0" fieldPosition="0">
        <references count="2">
          <reference field="4294967294" count="1" selected="0">
            <x v="0"/>
          </reference>
          <reference field="41" count="1" selected="0">
            <x v="2"/>
          </reference>
        </references>
      </pivotArea>
    </chartFormat>
    <chartFormat chart="3" format="7">
      <pivotArea type="data" outline="0" fieldPosition="0">
        <references count="2">
          <reference field="4294967294" count="1" selected="0">
            <x v="0"/>
          </reference>
          <reference field="41" count="1" selected="0">
            <x v="3"/>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41" count="1" selected="0">
            <x v="1"/>
          </reference>
        </references>
      </pivotArea>
    </chartFormat>
    <chartFormat chart="12" format="10">
      <pivotArea type="data" outline="0" fieldPosition="0">
        <references count="2">
          <reference field="4294967294" count="1" selected="0">
            <x v="0"/>
          </reference>
          <reference field="41" count="1" selected="0">
            <x v="2"/>
          </reference>
        </references>
      </pivotArea>
    </chartFormat>
    <chartFormat chart="12" format="11">
      <pivotArea type="data" outline="0" fieldPosition="0">
        <references count="2">
          <reference field="4294967294" count="1" selected="0">
            <x v="0"/>
          </reference>
          <reference field="4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46C7276-965B-41B9-8D99-6E0652722E8F}" name="PivotTable8" cacheId="0"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chartFormat="3" rowHeaderCaption="Mitigated?">
  <location ref="B71:C74" firstHeaderRow="1" firstDataRow="1" firstDataCol="1"/>
  <pivotFields count="4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3"/>
        <item x="0"/>
        <item m="1" x="4"/>
        <item x="2"/>
        <item x="1"/>
        <item t="default"/>
      </items>
    </pivotField>
    <pivotField showAll="0"/>
    <pivotField showAll="0"/>
    <pivotField showAll="0"/>
    <pivotField showAll="0"/>
    <pivotField showAll="0"/>
    <pivotField showAll="0"/>
    <pivotField showAll="0"/>
    <pivotField numFmtId="167" showAll="0"/>
    <pivotField numFmtId="167" showAll="0">
      <items count="15">
        <item x="4"/>
        <item x="3"/>
        <item x="13"/>
        <item x="12"/>
        <item x="8"/>
        <item x="2"/>
        <item x="11"/>
        <item x="1"/>
        <item x="9"/>
        <item x="5"/>
        <item x="6"/>
        <item x="7"/>
        <item x="10"/>
        <item x="0"/>
        <item t="default"/>
      </items>
    </pivotField>
    <pivotField showAll="0"/>
    <pivotField showAll="0"/>
    <pivotField axis="axisRow" showAll="0">
      <items count="4">
        <item h="1"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37"/>
  </rowFields>
  <rowItems count="3">
    <i>
      <x v="1"/>
    </i>
    <i>
      <x v="2"/>
    </i>
    <i t="grand">
      <x/>
    </i>
  </rowItems>
  <colItems count="1">
    <i/>
  </colItems>
  <dataFields count="1">
    <dataField name="Count" fld="0" subtotal="count" showDataAs="percentOfTotal" baseField="24" baseItem="0" numFmtId="10"/>
  </dataFields>
  <formats count="6">
    <format dxfId="120">
      <pivotArea type="all" dataOnly="0" outline="0" fieldPosition="0"/>
    </format>
    <format dxfId="119">
      <pivotArea outline="0" collapsedLevelsAreSubtotals="1" fieldPosition="0"/>
    </format>
    <format dxfId="118">
      <pivotArea field="25" type="button" dataOnly="0" labelOnly="1" outline="0"/>
    </format>
    <format dxfId="117">
      <pivotArea dataOnly="0" labelOnly="1" grandRow="1" outline="0" fieldPosition="0"/>
    </format>
    <format dxfId="116">
      <pivotArea dataOnly="0" labelOnly="1" outline="0" axis="axisValues" fieldPosition="0"/>
    </format>
    <format dxfId="115">
      <pivotArea outline="0" fieldPosition="0">
        <references count="1">
          <reference field="4294967294" count="1">
            <x v="0"/>
          </reference>
        </references>
      </pivotArea>
    </format>
  </formats>
  <chartFormats count="3">
    <chartFormat chart="0" format="4"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377DC6-51B8-4C27-8823-7F9FB6BFF91A}" name="PivotTable4" cacheId="0"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rowHeaderCaption="Risk Status" colHeaderCaption="Risk Response Strategy">
  <location ref="B99:E104" firstHeaderRow="1" firstDataRow="2" firstDataCol="1"/>
  <pivotFields count="4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showAll="0"/>
    <pivotField showAll="0"/>
    <pivotField showAll="0"/>
    <pivotField showAll="0"/>
    <pivotField showAll="0"/>
    <pivotField showAll="0"/>
    <pivotField showAll="0"/>
    <pivotField axis="axisRow" showAll="0">
      <items count="6">
        <item h="1" x="3"/>
        <item x="0"/>
        <item m="1" x="4"/>
        <item x="2"/>
        <item x="1"/>
        <item t="default"/>
      </items>
    </pivotField>
    <pivotField showAll="0"/>
    <pivotField showAll="0"/>
    <pivotField showAll="0"/>
    <pivotField showAll="0"/>
    <pivotField showAll="0"/>
    <pivotField showAll="0"/>
    <pivotField showAll="0"/>
    <pivotField numFmtId="167" showAll="0"/>
    <pivotField numFmtId="167" showAll="0">
      <items count="15">
        <item x="4"/>
        <item x="3"/>
        <item x="13"/>
        <item x="12"/>
        <item x="8"/>
        <item x="2"/>
        <item x="11"/>
        <item x="1"/>
        <item x="9"/>
        <item x="5"/>
        <item x="6"/>
        <item x="7"/>
        <item x="10"/>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5"/>
  </rowFields>
  <rowItems count="4">
    <i>
      <x v="1"/>
    </i>
    <i>
      <x v="3"/>
    </i>
    <i>
      <x v="4"/>
    </i>
    <i t="grand">
      <x/>
    </i>
  </rowItems>
  <colFields count="1">
    <field x="17"/>
  </colFields>
  <colItems count="3">
    <i>
      <x v="1"/>
    </i>
    <i>
      <x v="2"/>
    </i>
    <i t="grand">
      <x/>
    </i>
  </colItems>
  <dataFields count="1">
    <dataField name="Count" fld="0" subtotal="count" baseField="24" baseItem="0"/>
  </dataFields>
  <formats count="13">
    <format dxfId="133">
      <pivotArea type="all" dataOnly="0" outline="0" fieldPosition="0"/>
    </format>
    <format dxfId="132">
      <pivotArea type="origin" dataOnly="0" labelOnly="1" outline="0" fieldPosition="0"/>
    </format>
    <format dxfId="131">
      <pivotArea field="17" type="button" dataOnly="0" labelOnly="1" outline="0" axis="axisCol" fieldPosition="0"/>
    </format>
    <format dxfId="130">
      <pivotArea type="topRight" dataOnly="0" labelOnly="1" outline="0" fieldPosition="0"/>
    </format>
    <format dxfId="129">
      <pivotArea field="25" type="button" dataOnly="0" labelOnly="1" outline="0" axis="axisRow" fieldPosition="0"/>
    </format>
    <format dxfId="128">
      <pivotArea dataOnly="0" labelOnly="1" fieldPosition="0">
        <references count="1">
          <reference field="25" count="0"/>
        </references>
      </pivotArea>
    </format>
    <format dxfId="127">
      <pivotArea dataOnly="0" labelOnly="1" grandRow="1" outline="0" fieldPosition="0"/>
    </format>
    <format dxfId="126">
      <pivotArea outline="0" collapsedLevelsAreSubtotals="1" fieldPosition="0"/>
    </format>
    <format dxfId="125">
      <pivotArea dataOnly="0" labelOnly="1" fieldPosition="0">
        <references count="1">
          <reference field="17" count="2">
            <x v="1"/>
            <x v="2"/>
          </reference>
        </references>
      </pivotArea>
    </format>
    <format dxfId="124">
      <pivotArea dataOnly="0" labelOnly="1" grandCol="1" outline="0" fieldPosition="0"/>
    </format>
    <format dxfId="123">
      <pivotArea outline="0" collapsedLevelsAreSubtotals="1" fieldPosition="0"/>
    </format>
    <format dxfId="122">
      <pivotArea dataOnly="0" labelOnly="1" fieldPosition="0">
        <references count="1">
          <reference field="17" count="2">
            <x v="1"/>
            <x v="2"/>
          </reference>
        </references>
      </pivotArea>
    </format>
    <format dxfId="12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3F5F29B-5A02-42F6-A92E-3C00A5A23C16}" name="PivotTable1" cacheId="0"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chartFormat="1" rowHeaderCaption="Inherent Risk Level">
  <location ref="B7:C11" firstHeaderRow="1" firstDataRow="1" firstDataCol="1"/>
  <pivotFields count="4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m="1" x="5"/>
        <item x="1"/>
        <item x="2"/>
        <item x="0"/>
        <item h="1" m="1" x="4"/>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numFmtId="167" showAll="0">
      <items count="15">
        <item x="4"/>
        <item x="3"/>
        <item x="13"/>
        <item x="12"/>
        <item x="8"/>
        <item x="2"/>
        <item x="11"/>
        <item x="1"/>
        <item x="9"/>
        <item x="5"/>
        <item x="6"/>
        <item x="7"/>
        <item x="10"/>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5"/>
  </rowFields>
  <rowItems count="4">
    <i>
      <x v="1"/>
    </i>
    <i>
      <x v="2"/>
    </i>
    <i>
      <x v="3"/>
    </i>
    <i t="grand">
      <x/>
    </i>
  </rowItems>
  <colItems count="1">
    <i/>
  </colItems>
  <dataFields count="1">
    <dataField name="Count" fld="0" subtotal="count" baseField="24" baseItem="0"/>
  </dataFields>
  <formats count="6">
    <format dxfId="139">
      <pivotArea type="all" dataOnly="0" outline="0" fieldPosition="0"/>
    </format>
    <format dxfId="138">
      <pivotArea outline="0" collapsedLevelsAreSubtotals="1" fieldPosition="0"/>
    </format>
    <format dxfId="137">
      <pivotArea field="15" type="button" dataOnly="0" labelOnly="1" outline="0" axis="axisRow" fieldPosition="0"/>
    </format>
    <format dxfId="136">
      <pivotArea dataOnly="0" labelOnly="1" fieldPosition="0">
        <references count="1">
          <reference field="15" count="0"/>
        </references>
      </pivotArea>
    </format>
    <format dxfId="135">
      <pivotArea dataOnly="0" labelOnly="1" grandRow="1" outline="0" fieldPosition="0"/>
    </format>
    <format dxfId="13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559EC18-D914-4642-9836-E0D2C6DCC44A}" name="PivotTable12" cacheId="0"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chartFormat="1" rowHeaderCaption="Current-I-L-Combo">
  <location ref="B153:C165" firstHeaderRow="1" firstDataRow="1" firstDataCol="1" rowPageCount="1" colPageCount="1"/>
  <pivotFields count="4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m="1" x="5"/>
        <item x="1"/>
        <item x="2"/>
        <item x="0"/>
        <item m="1" x="4"/>
        <item x="3"/>
        <item t="default"/>
      </items>
    </pivotField>
    <pivotField showAll="0"/>
    <pivotField showAll="0"/>
    <pivotField showAll="0"/>
    <pivotField showAll="0"/>
    <pivotField showAll="0"/>
    <pivotField showAll="0"/>
    <pivotField showAll="0"/>
    <pivotField showAll="0"/>
    <pivotField showAll="0"/>
    <pivotField axis="axisPage" multipleItemSelectionAllowed="1" showAll="0">
      <items count="6">
        <item h="1" x="3"/>
        <item h="1" x="1"/>
        <item m="1" x="4"/>
        <item x="2"/>
        <item x="0"/>
        <item t="default"/>
      </items>
    </pivotField>
    <pivotField showAll="0"/>
    <pivotField showAll="0"/>
    <pivotField showAll="0"/>
    <pivotField showAll="0"/>
    <pivotField showAll="0"/>
    <pivotField showAll="0"/>
    <pivotField showAll="0"/>
    <pivotField numFmtId="167" showAll="0"/>
    <pivotField numFmtId="167" showAll="0">
      <items count="15">
        <item x="4"/>
        <item x="3"/>
        <item x="13"/>
        <item x="12"/>
        <item x="8"/>
        <item x="2"/>
        <item x="11"/>
        <item x="1"/>
        <item x="9"/>
        <item x="5"/>
        <item x="6"/>
        <item x="7"/>
        <item x="10"/>
        <item x="0"/>
        <item t="default"/>
      </items>
    </pivotField>
    <pivotField showAll="0"/>
    <pivotField showAll="0"/>
    <pivotField showAll="0"/>
    <pivotField showAll="0"/>
    <pivotField showAll="0"/>
    <pivotField axis="axisRow" showAll="0">
      <items count="15">
        <item x="13"/>
        <item x="12"/>
        <item x="3"/>
        <item x="8"/>
        <item x="11"/>
        <item x="1"/>
        <item x="7"/>
        <item x="2"/>
        <item x="4"/>
        <item x="9"/>
        <item x="6"/>
        <item x="0"/>
        <item x="5"/>
        <item x="1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40"/>
  </rowFields>
  <rowItems count="12">
    <i>
      <x v="1"/>
    </i>
    <i>
      <x v="2"/>
    </i>
    <i>
      <x v="3"/>
    </i>
    <i>
      <x v="4"/>
    </i>
    <i>
      <x v="7"/>
    </i>
    <i>
      <x v="8"/>
    </i>
    <i>
      <x v="9"/>
    </i>
    <i>
      <x v="10"/>
    </i>
    <i>
      <x v="11"/>
    </i>
    <i>
      <x v="12"/>
    </i>
    <i>
      <x v="13"/>
    </i>
    <i t="grand">
      <x/>
    </i>
  </rowItems>
  <colItems count="1">
    <i/>
  </colItems>
  <pageFields count="1">
    <pageField fld="25" hier="-1"/>
  </pageFields>
  <dataFields count="1">
    <dataField name="Count" fld="0" subtotal="count" baseField="24" baseItem="0"/>
  </dataFields>
  <formats count="5">
    <format dxfId="144">
      <pivotArea type="all" dataOnly="0" outline="0" fieldPosition="0"/>
    </format>
    <format dxfId="143">
      <pivotArea outline="0" collapsedLevelsAreSubtotals="1" fieldPosition="0"/>
    </format>
    <format dxfId="142">
      <pivotArea field="15" type="button" dataOnly="0" labelOnly="1" outline="0"/>
    </format>
    <format dxfId="141">
      <pivotArea dataOnly="0" labelOnly="1" grandRow="1" outline="0" fieldPosition="0"/>
    </format>
    <format dxfId="14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745324E-3319-4F53-AA3B-01AF545D506D}" name="PivotTable10" cacheId="0" applyNumberFormats="0" applyBorderFormats="0" applyFontFormats="0" applyPatternFormats="0" applyAlignmentFormats="0" applyWidthHeightFormats="1" dataCaption="Values" updatedVersion="8" minRefreshableVersion="3" showDrill="0" rowGrandTotals="0" colGrandTotals="0" itemPrintTitles="1" createdVersion="8" indent="0" outline="1" outlineData="1" multipleFieldFilters="0" chartFormat="4" rowHeaderCaption="Risks">
  <location ref="B8:E28" firstHeaderRow="0" firstDataRow="1" firstDataCol="1" rowPageCount="1" colPageCount="1"/>
  <pivotFields count="45">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axis="axisPage" multipleItemSelectionAllowed="1" showAll="0">
      <items count="6">
        <item h="1" x="3"/>
        <item x="1"/>
        <item m="1" x="4"/>
        <item x="2"/>
        <item x="0"/>
        <item t="default"/>
      </items>
    </pivotField>
    <pivotField showAll="0"/>
    <pivotField showAll="0"/>
    <pivotField showAll="0"/>
    <pivotField showAll="0"/>
    <pivotField showAll="0"/>
    <pivotField showAll="0"/>
    <pivotField showAll="0"/>
    <pivotField numFmtId="167" showAll="0"/>
    <pivotField dataField="1" numFmtId="167" showAll="0">
      <items count="15">
        <item x="4"/>
        <item x="3"/>
        <item x="13"/>
        <item x="12"/>
        <item x="8"/>
        <item x="2"/>
        <item x="11"/>
        <item x="1"/>
        <item x="9"/>
        <item x="5"/>
        <item x="6"/>
        <item x="7"/>
        <item x="10"/>
        <item x="0"/>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0"/>
  </rowFields>
  <rowItems count="20">
    <i>
      <x/>
    </i>
    <i>
      <x v="1"/>
    </i>
    <i>
      <x v="2"/>
    </i>
    <i>
      <x v="3"/>
    </i>
    <i>
      <x v="4"/>
    </i>
    <i>
      <x v="5"/>
    </i>
    <i>
      <x v="6"/>
    </i>
    <i>
      <x v="7"/>
    </i>
    <i>
      <x v="8"/>
    </i>
    <i>
      <x v="9"/>
    </i>
    <i>
      <x v="10"/>
    </i>
    <i>
      <x v="11"/>
    </i>
    <i>
      <x v="12"/>
    </i>
    <i>
      <x v="13"/>
    </i>
    <i>
      <x v="14"/>
    </i>
    <i>
      <x v="15"/>
    </i>
    <i>
      <x v="16"/>
    </i>
    <i>
      <x v="17"/>
    </i>
    <i>
      <x v="18"/>
    </i>
    <i>
      <x v="19"/>
    </i>
  </rowItems>
  <colFields count="1">
    <field x="-2"/>
  </colFields>
  <colItems count="3">
    <i>
      <x/>
    </i>
    <i i="1">
      <x v="1"/>
    </i>
    <i i="2">
      <x v="2"/>
    </i>
  </colItems>
  <pageFields count="1">
    <pageField fld="25" hier="-1"/>
  </pageFields>
  <dataFields count="3">
    <dataField name="Inherent Risk" fld="16" subtotal="max" baseField="0" baseItem="2"/>
    <dataField name="Residual Risk" fld="24" subtotal="max" baseField="0" baseItem="2"/>
    <dataField name="Date when Risk Score Changes" fld="34" subtotal="max" baseField="0" baseItem="1" numFmtId="167"/>
  </dataFields>
  <formats count="18">
    <format dxfId="56">
      <pivotArea outline="0" collapsedLevelsAreSubtotals="1" fieldPosition="0"/>
    </format>
    <format dxfId="55">
      <pivotArea type="all" dataOnly="0" outline="0" fieldPosition="0"/>
    </format>
    <format dxfId="54">
      <pivotArea field="0" type="button" dataOnly="0" labelOnly="1" outline="0" axis="axisRow" fieldPosition="0"/>
    </format>
    <format dxfId="53">
      <pivotArea dataOnly="0" labelOnly="1" outline="0" fieldPosition="0">
        <references count="1">
          <reference field="4294967294" count="3">
            <x v="0"/>
            <x v="1"/>
            <x v="2"/>
          </reference>
        </references>
      </pivotArea>
    </format>
    <format dxfId="52">
      <pivotArea field="0" type="button" dataOnly="0" labelOnly="1" outline="0" axis="axisRow" fieldPosition="0"/>
    </format>
    <format dxfId="51">
      <pivotArea dataOnly="0" labelOnly="1" outline="0" fieldPosition="0">
        <references count="1">
          <reference field="4294967294" count="3">
            <x v="0"/>
            <x v="1"/>
            <x v="2"/>
          </reference>
        </references>
      </pivotArea>
    </format>
    <format dxfId="50">
      <pivotArea field="0" type="button" dataOnly="0" labelOnly="1" outline="0" axis="axisRow" fieldPosition="0"/>
    </format>
    <format dxfId="49">
      <pivotArea dataOnly="0" labelOnly="1" outline="0" fieldPosition="0">
        <references count="1">
          <reference field="4294967294" count="3">
            <x v="0"/>
            <x v="1"/>
            <x v="2"/>
          </reference>
        </references>
      </pivotArea>
    </format>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fieldPosition="0">
        <references count="1">
          <reference field="0" count="20">
            <x v="0"/>
            <x v="1"/>
            <x v="2"/>
            <x v="3"/>
            <x v="4"/>
            <x v="5"/>
            <x v="6"/>
            <x v="7"/>
            <x v="8"/>
            <x v="9"/>
            <x v="10"/>
            <x v="11"/>
            <x v="12"/>
            <x v="13"/>
            <x v="14"/>
            <x v="15"/>
            <x v="16"/>
            <x v="17"/>
            <x v="18"/>
            <x v="19"/>
          </reference>
        </references>
      </pivotArea>
    </format>
    <format dxfId="44">
      <pivotArea dataOnly="0" labelOnly="1" outline="0" fieldPosition="0">
        <references count="1">
          <reference field="4294967294" count="3">
            <x v="0"/>
            <x v="1"/>
            <x v="2"/>
          </reference>
        </references>
      </pivotArea>
    </format>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20">
            <x v="0"/>
            <x v="1"/>
            <x v="2"/>
            <x v="3"/>
            <x v="4"/>
            <x v="5"/>
            <x v="6"/>
            <x v="7"/>
            <x v="8"/>
            <x v="9"/>
            <x v="10"/>
            <x v="11"/>
            <x v="12"/>
            <x v="13"/>
            <x v="14"/>
            <x v="15"/>
            <x v="16"/>
            <x v="17"/>
            <x v="18"/>
            <x v="19"/>
          </reference>
        </references>
      </pivotArea>
    </format>
    <format dxfId="3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6685F8-C059-4F5C-B7FF-A71D555C7119}" name="RiskRegister" displayName="RiskRegister" ref="A3:AP24" totalsRowShown="0" headerRowDxfId="194" dataDxfId="193" headerRowCellStyle="Title 2">
  <autoFilter ref="A3:AP24" xr:uid="{636685F8-C059-4F5C-B7FF-A71D555C7119}"/>
  <tableColumns count="42">
    <tableColumn id="3" xr3:uid="{5909478F-C303-424C-B563-36706BCF9F52}" name="Risk ID" dataDxfId="192"/>
    <tableColumn id="4" xr3:uid="{F3298DF4-2666-4D4D-A358-DE705433F38B}" name="Risk Title" dataDxfId="191"/>
    <tableColumn id="5" xr3:uid="{5B98027C-37BB-44BD-9A81-4430BD249986}" name="Risk Description" dataDxfId="190"/>
    <tableColumn id="39" xr3:uid="{4C68680D-E6BB-4CD7-BA69-9473D87A4F73}" name="Created Date" dataDxfId="189"/>
    <tableColumn id="29" xr3:uid="{5925DE37-8377-46F7-BC3C-6B84B5A5EEB4}" name="Cause" dataDxfId="188"/>
    <tableColumn id="22" xr3:uid="{FF65577B-FDEA-4913-895D-8B1B15398E17}" name="Consequence" dataDxfId="187"/>
    <tableColumn id="6" xr3:uid="{13A6724C-2C47-43B3-830E-DA584A406559}" name="Risk Category" dataDxfId="186"/>
    <tableColumn id="8" xr3:uid="{A089B670-F85A-4A10-B608-6C25AF209690}" name="Risk comments" dataDxfId="185"/>
    <tableColumn id="9" xr3:uid="{1C67AE7A-7351-430F-ABB7-6AA8DD7C1160}" name="Department" dataDxfId="184"/>
    <tableColumn id="10" xr3:uid="{A7793825-053F-479E-B35D-DEC2D94177F2}" name="Risk Owner" dataDxfId="183"/>
    <tableColumn id="12" xr3:uid="{1F573EC7-D71E-423F-BBF4-565C9EB0F262}" name="Existing measures and controls" dataDxfId="182"/>
    <tableColumn id="13" xr3:uid="{513624EC-104F-4375-8D7E-422C7C50EB6B}" name="Inherent Impact Level" dataDxfId="181"/>
    <tableColumn id="14" xr3:uid="{27F59E0B-ACF2-45C2-9B6A-9DD32A21A4C3}" name="Inherent Impact Rating" dataDxfId="180">
      <calculatedColumnFormula>VLOOKUP(RiskRegister[[#This Row],[Inherent Impact Level]],'Rating factors'!$F$4:$G$9,2,FALSE)</calculatedColumnFormula>
    </tableColumn>
    <tableColumn id="15" xr3:uid="{96074D76-069B-414D-98B3-4CE418E70074}" name="Inherent Likelihood Level" dataDxfId="179"/>
    <tableColumn id="16" xr3:uid="{F95034EB-7E9C-426A-ABA8-625AC57F57A1}" name="Inherent Likelihood Rating" dataDxfId="178">
      <calculatedColumnFormula>VLOOKUP(RiskRegister[[#This Row],[Inherent Likelihood Level]],'Rating factors'!$F$16:$G$21,2,FALSE)</calculatedColumnFormula>
    </tableColumn>
    <tableColumn id="11" xr3:uid="{8078D843-73A3-4C9F-8C46-EFD78A1A385C}" name="Inherent Risk Level" dataDxfId="177">
      <calculatedColumnFormula>IFERROR(VLOOKUP(RiskRegister[[#This Row],[Inherent Risk Rating]],'Rating factors'!$F$30:$G$44,2,FALSE),"-- Error --")</calculatedColumnFormula>
    </tableColumn>
    <tableColumn id="20" xr3:uid="{1E8BCB32-FE28-4147-AC5B-004529DA3042}" name="Inherent Risk Rating" dataDxfId="176">
      <calculatedColumnFormula>IFERROR(RiskRegister[[#This Row],[Inherent Impact Rating]]*RiskRegister[[#This Row],[Inherent Likelihood Rating]],"-- Error --")</calculatedColumnFormula>
    </tableColumn>
    <tableColumn id="17" xr3:uid="{F3785242-EE2B-4BAE-9854-A803F5565915}" name="Risk Response Strategy" dataDxfId="175"/>
    <tableColumn id="23" xr3:uid="{D42D447D-DE03-4793-A763-C335B67218A0}" name="New measures and controls" dataDxfId="174"/>
    <tableColumn id="24" xr3:uid="{5028DB38-7F9A-428D-BCC1-DC3BFECEB50B}" name="Residual Impact Level" dataDxfId="173"/>
    <tableColumn id="25" xr3:uid="{8DD2AE4A-7153-4051-94D4-458E54BFBDA5}" name="Residual Impact Rating" dataDxfId="172">
      <calculatedColumnFormula>VLOOKUP(RiskRegister[[#This Row],[Residual Impact Level]],'Rating factors'!$F$4:$G$9,2,FALSE)</calculatedColumnFormula>
    </tableColumn>
    <tableColumn id="28" xr3:uid="{81826F36-A747-4580-8F3F-609291641DD9}" name="Residual Likelihood Level" dataDxfId="171"/>
    <tableColumn id="27" xr3:uid="{CC6DDBA1-E720-4977-A7B8-A165004DDC69}" name="Residual Likelihood Rating" dataDxfId="170">
      <calculatedColumnFormula>VLOOKUP(RiskRegister[[#This Row],[Residual Likelihood Level]],'Rating factors'!$F$16:$G$21,2,FALSE)</calculatedColumnFormula>
    </tableColumn>
    <tableColumn id="31" xr3:uid="{403676CD-DEB5-4770-BD2D-027E7836EFCB}" name="Residual Risk Level" dataDxfId="169">
      <calculatedColumnFormula>IFERROR(VLOOKUP(RiskRegister[[#This Row],[Residual Risk Rating]],'Rating factors'!$F$30:$G$44,2,FALSE),"-- Error --")</calculatedColumnFormula>
    </tableColumn>
    <tableColumn id="26" xr3:uid="{50A22AC0-4C55-4F47-9FB1-2498445555ED}" name="Residual Risk Rating" dataDxfId="168">
      <calculatedColumnFormula>IFERROR(RiskRegister[[#This Row],[Residual Impact Rating]]*RiskRegister[[#This Row],[Residual Likelihood Rating]],"-- Error --")</calculatedColumnFormula>
    </tableColumn>
    <tableColumn id="30" xr3:uid="{7D4BF366-DA05-4530-92F8-1A772E4FA651}" name="Risk Status" dataDxfId="167"/>
    <tableColumn id="7" xr3:uid="{863397D2-6602-4577-9315-0D08CB488A63}" name="Status comments" dataDxfId="166"/>
    <tableColumn id="18" xr3:uid="{50B84654-2411-4843-8AAB-CEC9DDDDA07A}" name="Risk Due Date" dataDxfId="165"/>
    <tableColumn id="32" xr3:uid="{D6CFC33F-D172-4251-BC17-6EF0A4BC7564}" name="Risk Close Date" dataDxfId="164"/>
    <tableColumn id="19" xr3:uid="{8B49C431-63AC-45B1-B4E1-97DDC5E174AD}" name="Overdue?" dataDxfId="163">
      <calculatedColumnFormula>IF(ISBLANK(RiskRegister[[#This Row],[Risk Due Date]]), "Missing Risk Due Date", IF(RiskRegister[[#This Row],[Risk Due Date]] &lt; TODAY(), "Overdue", "Not Overdue"))</calculatedColumnFormula>
    </tableColumn>
    <tableColumn id="21" xr3:uid="{86B50D48-1AA0-47D1-86CE-4F28B2B90D8F}" name="Next Review Date" dataDxfId="162"/>
    <tableColumn id="33" xr3:uid="{E3BD34B4-DF77-4309-BB3E-D762A8C28B26}" name="Due Month" dataDxfId="161">
      <calculatedColumnFormula>IF(ISBLANK(RiskRegister[[#This Row],[Risk Due Date]]), "Missing Risk Due Date", TEXT(RiskRegister[[#This Row],[Risk Due Date]], "YYYY-MM"))</calculatedColumnFormula>
    </tableColumn>
    <tableColumn id="40" xr3:uid="{E8A545A8-D9E9-4520-AA1C-D1674718476D}" name="Created Month" dataDxfId="160">
      <calculatedColumnFormula>IF(RiskRegister[[#This Row],[Created Date]]="","Created Date missing",(TEXT(RiskRegister[[#This Row],[Created Date]],"mmm") &amp; "-" &amp; YEAR(RiskRegister[[#This Row],[Created Date]])))</calculatedColumnFormula>
    </tableColumn>
    <tableColumn id="41" xr3:uid="{8104F14B-A773-4CC0-A4D5-04A4F2322657}" name="Risk-Change-Date" dataDxfId="159">
      <calculatedColumnFormula>IF(RiskRegister[[#This Row],[Risk Status]]="Closed",RiskRegister[[#This Row],[Risk Close Date]],RiskRegister[[#This Row],[Risk Due Date]])</calculatedColumnFormula>
    </tableColumn>
    <tableColumn id="42" xr3:uid="{FEDD4DA2-BC44-409E-9995-A202DC5E1B28}" name="Corrected-Risk-Change-Date" dataDxfId="158">
      <calculatedColumnFormula>IF(RiskRegister[[#This Row],[Risk-Change-Date]]=0,DATE(2030,1,1),RiskRegister[[#This Row],[Risk-Change-Date]])</calculatedColumnFormula>
    </tableColumn>
    <tableColumn id="34" xr3:uid="{FC63B2BF-F04D-4F10-ABD1-17BCC7723FDE}" name="Inherent-I-L-Combo" dataDxfId="157">
      <calculatedColumnFormula>RiskRegister[[#This Row],[Inherent Impact Level]]&amp;"-"&amp;RiskRegister[[#This Row],[Inherent Likelihood Level]]</calculatedColumnFormula>
    </tableColumn>
    <tableColumn id="35" xr3:uid="{894151FA-2F62-4F89-AFF6-C0E7B8AFC1F2}" name="Residual-I-L-Combo" dataDxfId="156">
      <calculatedColumnFormula>RiskRegister[[#This Row],[Residual Impact Level]]&amp;"-"&amp;RiskRegister[[#This Row],[Residual Likelihood Level]]</calculatedColumnFormula>
    </tableColumn>
    <tableColumn id="37" xr3:uid="{C23889F0-DFD6-4B37-8EBF-7473041097D1}" name="Mitigated?" dataDxfId="155">
      <calculatedColumnFormula>IF(OR(R4="-- Select Risk Response --", Z4="-- Select Risk Status --"), "Error", IF(AND(Z4="Closed", R4="Mitigate"), "Yes", "No"))</calculatedColumnFormula>
    </tableColumn>
    <tableColumn id="1" xr3:uid="{69389B4F-7122-40A1-86B5-0CA732D4C59C}" name="Current-Impact" dataDxfId="154">
      <calculatedColumnFormula>IF(RiskRegister[[#This Row],[Risk Status]]="Closed",RiskRegister[[#This Row],[Residual Impact Level]],RiskRegister[[#This Row],[Inherent Impact Level]])</calculatedColumnFormula>
    </tableColumn>
    <tableColumn id="38" xr3:uid="{D7F33DE0-D25A-4C9D-823B-9D27171C4933}" name="Current-Likelihood" dataDxfId="153">
      <calculatedColumnFormula>IF(RiskRegister[[#This Row],[Risk Status]]="Closed",RiskRegister[[#This Row],[Residual Likelihood Level]],RiskRegister[[#This Row],[Inherent Likelihood Level]])</calculatedColumnFormula>
    </tableColumn>
    <tableColumn id="2" xr3:uid="{8349D546-C3C0-4605-B813-E010EE5C2FE5}" name="Current-I-L-Combo" dataDxfId="152">
      <calculatedColumnFormula>IF(RiskRegister[[#This Row],[Risk Status]]="Closed",RiskRegister[[#This Row],[Residual-I-L-Combo]],RiskRegister[[#This Row],[Inherent-I-L-Combo]])</calculatedColumnFormula>
    </tableColumn>
    <tableColumn id="36" xr3:uid="{67552D6A-5275-42DD-9BB6-2415C3FF709A}" name="Current Risk Level" dataDxfId="151">
      <calculatedColumnFormula>IF(Z4="Closed", X4, P4)</calculatedColumnFormula>
    </tableColumn>
  </tableColumns>
  <tableStyleInfo name="Custom Blu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0A92F6-2BAB-4EA5-B1BD-5A4FD0CB5527}" name="Tasks" displayName="Tasks" ref="A3:Q103" totalsRowShown="0" headerRowDxfId="150" headerRowCellStyle="Title 2">
  <autoFilter ref="A3:Q103" xr:uid="{190A92F6-2BAB-4EA5-B1BD-5A4FD0CB5527}"/>
  <tableColumns count="17">
    <tableColumn id="2" xr3:uid="{7866062C-A8B8-4AD7-9C7E-24AA3129D0F5}" name="Task ID"/>
    <tableColumn id="41" xr3:uid="{D0833E4C-DCD9-454C-870A-48F9716C6160}" name="Created Date" dataDxfId="149"/>
    <tableColumn id="4" xr3:uid="{25AF9E0C-F40D-4A6C-9594-4BCC5ECF3498}" name="Task Title"/>
    <tableColumn id="5" xr3:uid="{3E84FAEF-8DE8-481B-987F-C4530370DAC9}" name="Task Description"/>
    <tableColumn id="6" xr3:uid="{EF88593E-CFF4-4ABC-BC5C-1D6E9762C1A2}" name="Assignee"/>
    <tableColumn id="38" xr3:uid="{1E81D19F-A087-4D3D-9824-6EC99F2568C2}" name="Status"/>
    <tableColumn id="7" xr3:uid="{C94C727E-F015-4E31-9BF4-AE6BB62B90A2}" name="Due Date" dataDxfId="148"/>
    <tableColumn id="9" xr3:uid="{D065E62D-D43A-4C69-B861-382DD3CE869F}" name="Comments"/>
    <tableColumn id="10" xr3:uid="{593649DD-8A3A-4B33-A2FC-D8AC447F87E3}" name="Risk ID"/>
    <tableColumn id="11" xr3:uid="{CDB02363-F827-4CB0-91DE-B4AF2E49A016}" name="Risk Title" dataDxfId="147">
      <calculatedColumnFormula>IFERROR(VLOOKUP(Tasks[[#This Row],[Risk ID]],RiskRegister[#All],2,FALSE),"Error!")</calculatedColumnFormula>
    </tableColumn>
    <tableColumn id="33" xr3:uid="{EF4BA74D-4D77-4DE1-99FB-85F1D9309471}" name="Overdue?" dataDxfId="146">
      <calculatedColumnFormula>IF(OR(F4="", G4=""), "Error", IF(AND(F4&lt;&gt;"Closed", G4&lt;=TODAY()), "Yes", "No"))</calculatedColumnFormula>
    </tableColumn>
    <tableColumn id="39" xr3:uid="{17C7DDDE-D183-4D60-B6A6-AB99FAC985F0}" name="Due Month"/>
    <tableColumn id="40" xr3:uid="{87E7C050-3A66-402B-A23F-0AA63D7FE83C}" name="Due Year"/>
    <tableColumn id="34" xr3:uid="{9C213F33-FF7E-475B-A607-3A1DC0810948}" name="Risk-ID-Title-Combo" dataDxfId="145">
      <calculatedColumnFormula>Tasks[[#This Row],[Risk ID]]&amp;" - " &amp;Tasks[[#This Row],[Risk Title]]</calculatedColumnFormula>
    </tableColumn>
    <tableColumn id="35" xr3:uid="{8F65E14F-201D-4614-8DA7-EBDC19AAEAED}" name="Residual-I-L-Combo"/>
    <tableColumn id="36" xr3:uid="{122CC3AF-5998-414D-AA3F-4CBBAC3115B2}" name="Mitigated?"/>
    <tableColumn id="37" xr3:uid="{C603920C-C41A-4F3B-9AC7-DB470ECC7EBF}" name="Current Risk LRonl"/>
  </tableColumns>
  <tableStyleInfo name="Custom Blu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8C42F7-0E83-42A4-B53C-D9C55A303833}" name="Table6" displayName="Table6" ref="F3:H9" totalsRowShown="0" headerRowDxfId="31" dataDxfId="38" headerRowBorderDxfId="36" tableBorderDxfId="37" totalsRowBorderDxfId="35">
  <autoFilter ref="F3:H9" xr:uid="{4B8C42F7-0E83-42A4-B53C-D9C55A303833}"/>
  <tableColumns count="3">
    <tableColumn id="1" xr3:uid="{EC283A44-0DA3-4556-8CAC-9E9A841CD77A}" name="Impact Level" dataDxfId="34"/>
    <tableColumn id="2" xr3:uid="{58DD36E9-0E93-4EAD-A645-29EF7613553F}" name="Impact Rating" dataDxfId="33"/>
    <tableColumn id="3" xr3:uid="{37EBB853-0297-4D89-9A22-F14DCAD3B74E}" name="Description" dataDxfId="32"/>
  </tableColumns>
  <tableStyleInfo name="TableStyleMedium2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3C361AA-80EA-47F7-8457-6A0B6F5CBE30}" name="Table7" displayName="Table7" ref="F15:H21" totalsRowShown="0" headerRowDxfId="24" headerRowBorderDxfId="29" tableBorderDxfId="30" totalsRowBorderDxfId="28" headerRowCellStyle="Title 2">
  <autoFilter ref="F15:H21" xr:uid="{13C361AA-80EA-47F7-8457-6A0B6F5CBE30}"/>
  <tableColumns count="3">
    <tableColumn id="1" xr3:uid="{2BBBC14E-4557-4C55-A0F7-34C8E288368F}" name="Likelihood Level" dataDxfId="27"/>
    <tableColumn id="2" xr3:uid="{13A1B213-FEC4-4558-AEEA-310F47FED3C7}" name="Likelihood Rating" dataDxfId="26"/>
    <tableColumn id="3" xr3:uid="{DB54D255-04EE-4F02-893E-20C8F382456C}" name="Description" dataDxfId="25"/>
  </tableColumns>
  <tableStyleInfo name="TableStyleMedium2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4D0342A-79F1-43CE-816A-CE6BBEA320EA}" name="Table8" displayName="Table8" ref="C43:D50" totalsRowShown="0" headerRowDxfId="7" dataDxfId="6" headerRowBorderDxfId="11" tableBorderDxfId="12" totalsRowBorderDxfId="10">
  <autoFilter ref="C43:D50" xr:uid="{34D0342A-79F1-43CE-816A-CE6BBEA320EA}"/>
  <tableColumns count="2">
    <tableColumn id="1" xr3:uid="{A8FFCB2C-BD71-44D5-9819-32B23F469B2F}" name="Department" dataDxfId="9"/>
    <tableColumn id="2" xr3:uid="{BB3F73B1-4A03-444E-B19D-83EB6ACE2DFE}" name="Description / Role in Risk Management" dataDxfId="8"/>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6D829CC-4203-457E-81BB-4358C0B8672E}" name="Table9" displayName="Table9" ref="C27:D38" totalsRowShown="0" headerRowDxfId="0" headerRowBorderDxfId="4" tableBorderDxfId="5" totalsRowBorderDxfId="3" headerRowCellStyle="Title 2">
  <autoFilter ref="C27:D38" xr:uid="{66D829CC-4203-457E-81BB-4358C0B8672E}"/>
  <tableColumns count="2">
    <tableColumn id="1" xr3:uid="{5A4B69C4-5086-4A1D-BA4A-23C10C7F6731}" name="Risk Category" dataDxfId="2"/>
    <tableColumn id="2" xr3:uid="{311934D7-499A-44AF-9E8A-C3C1DEAA81BF}" name="Category Description" dataDxfId="1"/>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drawing" Target="../drawings/drawing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EB324-ED1D-4D3C-9D61-C4F6209ADB7B}">
  <dimension ref="A1:M15"/>
  <sheetViews>
    <sheetView showGridLines="0" topLeftCell="A6" zoomScaleNormal="100" workbookViewId="0">
      <selection activeCell="D4" sqref="D4"/>
    </sheetView>
  </sheetViews>
  <sheetFormatPr defaultColWidth="0" defaultRowHeight="17.25" x14ac:dyDescent="0.25"/>
  <cols>
    <col min="1" max="1" width="4" style="1" customWidth="1"/>
    <col min="2" max="2" width="12.42578125" style="1" customWidth="1"/>
    <col min="3" max="3" width="26.140625" style="1" customWidth="1"/>
    <col min="4" max="4" width="147.42578125" style="1" customWidth="1"/>
    <col min="5" max="5" width="10.7109375" style="1" customWidth="1"/>
    <col min="6" max="13" width="10.28515625" style="1" hidden="1" customWidth="1"/>
    <col min="14" max="16384" width="10" style="1" hidden="1"/>
  </cols>
  <sheetData>
    <row r="1" spans="2:5" customFormat="1" ht="135" customHeight="1" x14ac:dyDescent="0.25"/>
    <row r="2" spans="2:5" ht="15" customHeight="1" x14ac:dyDescent="0.25">
      <c r="B2" s="64"/>
      <c r="C2" s="65"/>
      <c r="D2" s="65"/>
    </row>
    <row r="3" spans="2:5" ht="37.5" x14ac:dyDescent="0.25">
      <c r="B3" s="65"/>
      <c r="C3" s="129"/>
      <c r="D3" s="129"/>
      <c r="E3" s="3"/>
    </row>
    <row r="4" spans="2:5" ht="30.75" x14ac:dyDescent="0.25">
      <c r="B4" s="66"/>
      <c r="C4" s="67"/>
      <c r="D4" s="68"/>
      <c r="E4" s="3"/>
    </row>
    <row r="5" spans="2:5" x14ac:dyDescent="0.25">
      <c r="B5" s="68"/>
      <c r="C5" s="68"/>
      <c r="D5" s="68"/>
    </row>
    <row r="6" spans="2:5" ht="81" customHeight="1" x14ac:dyDescent="0.25">
      <c r="B6" s="68"/>
      <c r="C6" s="212" t="s">
        <v>364</v>
      </c>
      <c r="D6" s="212"/>
    </row>
    <row r="7" spans="2:5" ht="150" customHeight="1" x14ac:dyDescent="0.25">
      <c r="B7" s="68"/>
      <c r="C7" s="210" t="s">
        <v>514</v>
      </c>
      <c r="D7" s="210"/>
    </row>
    <row r="8" spans="2:5" ht="34.5" customHeight="1" x14ac:dyDescent="0.25">
      <c r="B8" s="68"/>
      <c r="C8" s="211"/>
      <c r="D8" s="211"/>
    </row>
    <row r="9" spans="2:5" ht="34.5" customHeight="1" x14ac:dyDescent="0.25">
      <c r="B9" s="68"/>
      <c r="C9" s="211"/>
      <c r="D9" s="211"/>
    </row>
    <row r="10" spans="2:5" ht="34.5" customHeight="1" x14ac:dyDescent="0.25">
      <c r="B10" s="68"/>
      <c r="C10" s="211"/>
      <c r="D10" s="211"/>
    </row>
    <row r="11" spans="2:5" ht="34.5" customHeight="1" x14ac:dyDescent="0.25">
      <c r="B11" s="68"/>
      <c r="C11" s="211"/>
      <c r="D11" s="211"/>
    </row>
    <row r="12" spans="2:5" ht="34.5" customHeight="1" x14ac:dyDescent="0.25">
      <c r="B12" s="68"/>
      <c r="C12" s="130"/>
      <c r="D12" s="130"/>
    </row>
    <row r="13" spans="2:5" x14ac:dyDescent="0.25">
      <c r="C13" s="2"/>
      <c r="D13" s="2"/>
    </row>
    <row r="15" spans="2:5" x14ac:dyDescent="0.25">
      <c r="D15"/>
    </row>
  </sheetData>
  <mergeCells count="4">
    <mergeCell ref="C3:D3"/>
    <mergeCell ref="C12:D12"/>
    <mergeCell ref="C6:D6"/>
    <mergeCell ref="C7:D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92A53-40E8-4EF7-89BB-F65F41C2E077}">
  <sheetPr>
    <pageSetUpPr fitToPage="1"/>
  </sheetPr>
  <dimension ref="A91:AD105"/>
  <sheetViews>
    <sheetView showGridLines="0" topLeftCell="A10" zoomScaleNormal="100" workbookViewId="0">
      <selection activeCell="A12" sqref="A12"/>
    </sheetView>
  </sheetViews>
  <sheetFormatPr defaultColWidth="0" defaultRowHeight="15" x14ac:dyDescent="0.25"/>
  <cols>
    <col min="1" max="3" width="9.140625" customWidth="1"/>
    <col min="4" max="4" width="14" customWidth="1"/>
    <col min="5" max="30" width="9.140625" customWidth="1"/>
    <col min="31" max="16384" width="9.140625" hidden="1"/>
  </cols>
  <sheetData>
    <row r="91" spans="3:17" ht="16.5" x14ac:dyDescent="0.3">
      <c r="C91" s="21"/>
      <c r="D91" s="21"/>
      <c r="E91" s="21"/>
      <c r="F91" s="22"/>
      <c r="G91" s="22"/>
      <c r="H91" s="22"/>
      <c r="I91" s="22"/>
      <c r="J91" s="22"/>
      <c r="K91" s="22"/>
      <c r="L91" s="22"/>
      <c r="M91" s="21"/>
      <c r="N91" s="21"/>
      <c r="O91" s="21"/>
      <c r="P91" s="21"/>
      <c r="Q91" s="21"/>
    </row>
    <row r="92" spans="3:17" ht="16.5" x14ac:dyDescent="0.3">
      <c r="C92" s="21"/>
      <c r="D92" s="21"/>
      <c r="E92" s="21"/>
      <c r="F92" s="149"/>
      <c r="G92" s="149"/>
      <c r="H92" s="149"/>
      <c r="I92" s="149"/>
      <c r="J92" s="149"/>
      <c r="K92" s="149"/>
      <c r="L92" s="149"/>
      <c r="M92" s="149"/>
      <c r="N92" s="149"/>
      <c r="O92" s="149"/>
      <c r="P92" s="21"/>
      <c r="Q92" s="21"/>
    </row>
    <row r="93" spans="3:17" ht="16.5" x14ac:dyDescent="0.3">
      <c r="C93" s="21"/>
      <c r="D93" s="21"/>
      <c r="E93" s="21"/>
      <c r="F93" s="149"/>
      <c r="G93" s="149"/>
      <c r="H93" s="149"/>
      <c r="I93" s="149"/>
      <c r="J93" s="149"/>
      <c r="K93" s="149"/>
      <c r="L93" s="149"/>
      <c r="M93" s="149"/>
      <c r="N93" s="149"/>
      <c r="O93" s="149"/>
      <c r="P93" s="21"/>
      <c r="Q93" s="21"/>
    </row>
    <row r="94" spans="3:17" ht="16.5" x14ac:dyDescent="0.3">
      <c r="C94" s="21"/>
      <c r="D94" s="21"/>
      <c r="E94" s="21"/>
      <c r="F94" s="22"/>
      <c r="G94" s="22"/>
      <c r="H94" s="22"/>
      <c r="I94" s="22"/>
      <c r="J94" s="22"/>
      <c r="K94" s="22"/>
      <c r="L94" s="22"/>
      <c r="M94" s="21"/>
      <c r="N94" s="21"/>
      <c r="O94" s="21"/>
      <c r="P94" s="21"/>
      <c r="Q94" s="21"/>
    </row>
    <row r="95" spans="3:17" ht="51" x14ac:dyDescent="0.3">
      <c r="C95" s="208" t="s">
        <v>88</v>
      </c>
      <c r="D95" s="57" t="s">
        <v>63</v>
      </c>
      <c r="E95" s="69">
        <v>5</v>
      </c>
      <c r="F95" s="140">
        <f>VLOOKUP($F$101&amp;"-"&amp;D95,RiskPivots!$E$153:$F$177,2,FALSE)</f>
        <v>2</v>
      </c>
      <c r="G95" s="152"/>
      <c r="H95" s="139">
        <f>VLOOKUP($H$101&amp;"-"&amp;D95,RiskPivots!$E$153:$F$177,2,FALSE)</f>
        <v>2</v>
      </c>
      <c r="I95" s="140"/>
      <c r="J95" s="139">
        <f>VLOOKUP($J$101&amp;"-"&amp;D95,RiskPivots!$E$153:$F$177,2,FALSE)</f>
        <v>3</v>
      </c>
      <c r="K95" s="140"/>
      <c r="L95" s="150">
        <f>VLOOKUP($L$101&amp;"-"&amp;D95,RiskPivots!$E$153:$F$177,2,FALSE)</f>
        <v>2</v>
      </c>
      <c r="M95" s="151"/>
      <c r="N95" s="150">
        <f>VLOOKUP($N$101&amp;"-"&amp;D95,RiskPivots!$E$153:$F$177,2,FALSE)</f>
        <v>2</v>
      </c>
      <c r="O95" s="151"/>
      <c r="P95" s="21"/>
    </row>
    <row r="96" spans="3:17" ht="38.25" x14ac:dyDescent="0.3">
      <c r="C96" s="209"/>
      <c r="D96" s="57" t="s">
        <v>9</v>
      </c>
      <c r="E96" s="69">
        <v>4</v>
      </c>
      <c r="F96" s="153">
        <f>VLOOKUP($F$101&amp;"-"&amp;D96,RiskPivots!$E$153:$F$177,2,FALSE)</f>
        <v>1</v>
      </c>
      <c r="G96" s="154"/>
      <c r="H96" s="139">
        <f>VLOOKUP($H$101&amp;"-"&amp;D96,RiskPivots!$E$153:$F$177,2,FALSE)</f>
        <v>0</v>
      </c>
      <c r="I96" s="140"/>
      <c r="J96" s="139">
        <f>VLOOKUP($J$101&amp;"-"&amp;D96,RiskPivots!$E$153:$F$177,2,FALSE)</f>
        <v>0</v>
      </c>
      <c r="K96" s="140"/>
      <c r="L96" s="139">
        <f>VLOOKUP($L$101&amp;"-"&amp;D96,RiskPivots!$E$153:$F$177,2,FALSE)</f>
        <v>1</v>
      </c>
      <c r="M96" s="140"/>
      <c r="N96" s="150">
        <f>VLOOKUP($N$101&amp;"-"&amp;D96,RiskPivots!$E$153:$F$177,2,FALSE)</f>
        <v>0</v>
      </c>
      <c r="O96" s="151"/>
      <c r="P96" s="21"/>
    </row>
    <row r="97" spans="3:17" ht="38.25" x14ac:dyDescent="0.3">
      <c r="C97" s="209"/>
      <c r="D97" s="57" t="s">
        <v>66</v>
      </c>
      <c r="E97" s="69">
        <v>3</v>
      </c>
      <c r="F97" s="141">
        <f>VLOOKUP($F$101&amp;"-"&amp;D97,RiskPivots!$E$153:$F$177,2,FALSE)</f>
        <v>1</v>
      </c>
      <c r="G97" s="142"/>
      <c r="H97" s="143">
        <f>VLOOKUP($H$101&amp;"-"&amp;D97,RiskPivots!$E$153:$F$177,2,FALSE)</f>
        <v>0</v>
      </c>
      <c r="I97" s="144"/>
      <c r="J97" s="139">
        <f>VLOOKUP($J$101&amp;"-"&amp;D97,RiskPivots!$E$153:$F$177,2,FALSE)</f>
        <v>0</v>
      </c>
      <c r="K97" s="140"/>
      <c r="L97" s="139">
        <f>VLOOKUP($L$101&amp;"-"&amp;D97,RiskPivots!$E$153:$F$177,2,FALSE)</f>
        <v>1</v>
      </c>
      <c r="M97" s="140"/>
      <c r="N97" s="139">
        <f>VLOOKUP($N$101&amp;"-"&amp;D97,RiskPivots!$E$153:$F$177,2,FALSE)</f>
        <v>1</v>
      </c>
      <c r="O97" s="140"/>
      <c r="P97" s="21"/>
    </row>
    <row r="98" spans="3:17" ht="38.25" x14ac:dyDescent="0.3">
      <c r="C98" s="209"/>
      <c r="D98" s="57" t="s">
        <v>10</v>
      </c>
      <c r="E98" s="69">
        <v>2</v>
      </c>
      <c r="F98" s="141">
        <f>VLOOKUP($F$101&amp;"-"&amp;D98,RiskPivots!$E$153:$F$177,2,FALSE)</f>
        <v>0</v>
      </c>
      <c r="G98" s="142"/>
      <c r="H98" s="139">
        <f>VLOOKUP($H$101&amp;"-"&amp;D98,RiskPivots!$E$153:$F$177,2,FALSE)</f>
        <v>0</v>
      </c>
      <c r="I98" s="140"/>
      <c r="J98" s="139">
        <f>VLOOKUP($J$101&amp;"-"&amp;D98,RiskPivots!$E$153:$F$177,2,FALSE)</f>
        <v>0</v>
      </c>
      <c r="K98" s="140"/>
      <c r="L98" s="143">
        <f>VLOOKUP($L$101&amp;"-"&amp;D98,RiskPivots!$E$153:$F$177,2,FALSE)</f>
        <v>0</v>
      </c>
      <c r="M98" s="144"/>
      <c r="N98" s="139">
        <f>VLOOKUP($N$101&amp;"-"&amp;D98,RiskPivots!$E$153:$F$177,2,FALSE)</f>
        <v>0</v>
      </c>
      <c r="O98" s="140"/>
      <c r="P98" s="21"/>
    </row>
    <row r="99" spans="3:17" ht="38.25" x14ac:dyDescent="0.3">
      <c r="C99" s="209"/>
      <c r="D99" s="57" t="s">
        <v>11</v>
      </c>
      <c r="E99" s="69">
        <v>1</v>
      </c>
      <c r="F99" s="147">
        <f>VLOOKUP($F$101&amp;"-"&amp;D99,RiskPivots!$E$153:$F$177,2,FALSE)</f>
        <v>0</v>
      </c>
      <c r="G99" s="148"/>
      <c r="H99" s="147">
        <f>VLOOKUP($H$101&amp;"-"&amp;D99,RiskPivots!$E$153:$F$177,2,FALSE)</f>
        <v>0</v>
      </c>
      <c r="I99" s="148"/>
      <c r="J99" s="147">
        <f>VLOOKUP($J$101&amp;"-"&amp;D99,RiskPivots!$E$153:$F$177,2,FALSE)</f>
        <v>0</v>
      </c>
      <c r="K99" s="148"/>
      <c r="L99" s="137">
        <f>VLOOKUP($L$101&amp;"-"&amp;D99,RiskPivots!$E$153:$F$177,2,FALSE)</f>
        <v>0</v>
      </c>
      <c r="M99" s="138"/>
      <c r="N99" s="145">
        <f>VLOOKUP($N$101&amp;"-"&amp;D99,RiskPivots!$E$153:$F$177,2,FALSE)</f>
        <v>1</v>
      </c>
      <c r="O99" s="146"/>
      <c r="P99" s="21"/>
    </row>
    <row r="100" spans="3:17" ht="29.25" customHeight="1" x14ac:dyDescent="0.3">
      <c r="C100" s="21"/>
      <c r="D100" s="21"/>
      <c r="E100" s="22"/>
      <c r="F100" s="131">
        <v>1</v>
      </c>
      <c r="G100" s="132"/>
      <c r="H100" s="131">
        <v>2</v>
      </c>
      <c r="I100" s="133"/>
      <c r="J100" s="131">
        <v>3</v>
      </c>
      <c r="K100" s="133"/>
      <c r="L100" s="131">
        <v>4</v>
      </c>
      <c r="M100" s="133"/>
      <c r="N100" s="131">
        <v>5</v>
      </c>
      <c r="O100" s="133"/>
      <c r="P100" s="21"/>
    </row>
    <row r="101" spans="3:17" ht="29.25" customHeight="1" x14ac:dyDescent="0.3">
      <c r="C101" s="21"/>
      <c r="D101" s="21"/>
      <c r="E101" s="22"/>
      <c r="F101" s="134" t="s">
        <v>74</v>
      </c>
      <c r="G101" s="135"/>
      <c r="H101" s="134" t="s">
        <v>14</v>
      </c>
      <c r="I101" s="136"/>
      <c r="J101" s="134" t="s">
        <v>8</v>
      </c>
      <c r="K101" s="136"/>
      <c r="L101" s="134" t="s">
        <v>12</v>
      </c>
      <c r="M101" s="136"/>
      <c r="N101" s="134" t="s">
        <v>75</v>
      </c>
      <c r="O101" s="136"/>
      <c r="P101" s="21"/>
    </row>
    <row r="102" spans="3:17" ht="29.25" customHeight="1" x14ac:dyDescent="0.3">
      <c r="C102" s="21"/>
      <c r="D102" s="21"/>
      <c r="E102" s="22"/>
      <c r="F102" s="207" t="s">
        <v>87</v>
      </c>
      <c r="G102" s="207"/>
      <c r="H102" s="207"/>
      <c r="I102" s="207"/>
      <c r="J102" s="207"/>
      <c r="K102" s="207"/>
      <c r="L102" s="207"/>
      <c r="M102" s="207"/>
      <c r="N102" s="207"/>
      <c r="O102" s="207"/>
      <c r="P102" s="21"/>
    </row>
    <row r="103" spans="3:17" ht="16.5" x14ac:dyDescent="0.3">
      <c r="C103" s="21"/>
      <c r="D103" s="21"/>
      <c r="E103" s="21"/>
      <c r="F103" s="22"/>
      <c r="G103" s="22"/>
      <c r="H103" s="22"/>
      <c r="I103" s="22"/>
      <c r="J103" s="22"/>
      <c r="K103" s="22"/>
      <c r="L103" s="22"/>
      <c r="M103" s="21"/>
      <c r="N103" s="21"/>
      <c r="O103" s="21"/>
      <c r="P103" s="21"/>
      <c r="Q103" s="21"/>
    </row>
    <row r="104" spans="3:17" ht="16.5" x14ac:dyDescent="0.3">
      <c r="C104" s="21"/>
      <c r="D104" s="21"/>
      <c r="E104" s="21"/>
      <c r="F104" s="22"/>
      <c r="G104" s="22"/>
      <c r="H104" s="22"/>
      <c r="I104" s="22"/>
      <c r="J104" s="22"/>
      <c r="K104" s="22"/>
      <c r="L104" s="22"/>
      <c r="M104" s="21"/>
      <c r="N104" s="21"/>
      <c r="O104" s="21"/>
      <c r="P104" s="21"/>
      <c r="Q104" s="21"/>
    </row>
    <row r="105" spans="3:17" ht="16.5" x14ac:dyDescent="0.3">
      <c r="C105" s="21"/>
      <c r="D105" s="21"/>
      <c r="E105" s="21"/>
      <c r="F105" s="22"/>
      <c r="G105" s="22"/>
      <c r="H105" s="22"/>
      <c r="I105" s="22"/>
      <c r="J105" s="22"/>
      <c r="K105" s="22"/>
      <c r="L105" s="22"/>
      <c r="M105" s="21"/>
      <c r="N105" s="21"/>
      <c r="O105" s="21"/>
      <c r="P105" s="21"/>
      <c r="Q105" s="21"/>
    </row>
  </sheetData>
  <mergeCells count="38">
    <mergeCell ref="C95:C99"/>
    <mergeCell ref="F95:G95"/>
    <mergeCell ref="H95:I95"/>
    <mergeCell ref="F96:G96"/>
    <mergeCell ref="H96:I96"/>
    <mergeCell ref="F92:O93"/>
    <mergeCell ref="J96:K96"/>
    <mergeCell ref="L96:M96"/>
    <mergeCell ref="N96:O96"/>
    <mergeCell ref="J95:K95"/>
    <mergeCell ref="L95:M95"/>
    <mergeCell ref="N95:O95"/>
    <mergeCell ref="N97:O97"/>
    <mergeCell ref="F97:G97"/>
    <mergeCell ref="H97:I97"/>
    <mergeCell ref="J97:K97"/>
    <mergeCell ref="L97:M97"/>
    <mergeCell ref="L99:M99"/>
    <mergeCell ref="N98:O98"/>
    <mergeCell ref="F98:G98"/>
    <mergeCell ref="H98:I98"/>
    <mergeCell ref="J98:K98"/>
    <mergeCell ref="L98:M98"/>
    <mergeCell ref="N99:O99"/>
    <mergeCell ref="F99:G99"/>
    <mergeCell ref="H99:I99"/>
    <mergeCell ref="J99:K99"/>
    <mergeCell ref="F102:O102"/>
    <mergeCell ref="F100:G100"/>
    <mergeCell ref="H100:I100"/>
    <mergeCell ref="J100:K100"/>
    <mergeCell ref="L100:M100"/>
    <mergeCell ref="N100:O100"/>
    <mergeCell ref="F101:G101"/>
    <mergeCell ref="H101:I101"/>
    <mergeCell ref="J101:K101"/>
    <mergeCell ref="L101:M101"/>
    <mergeCell ref="N101:O101"/>
  </mergeCells>
  <pageMargins left="0.25" right="0.25" top="0.75" bottom="0.75" header="0.3" footer="0.3"/>
  <pageSetup paperSize="9" scale="3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089D1-913F-044C-9002-D7B4D2CD5C5E}">
  <dimension ref="I17:T23"/>
  <sheetViews>
    <sheetView showGridLines="0" workbookViewId="0">
      <selection activeCell="E35" sqref="E35"/>
    </sheetView>
  </sheetViews>
  <sheetFormatPr defaultColWidth="11.42578125" defaultRowHeight="15" x14ac:dyDescent="0.25"/>
  <cols>
    <col min="10" max="10" width="20" customWidth="1"/>
    <col min="11" max="20" width="9" customWidth="1"/>
  </cols>
  <sheetData>
    <row r="17" spans="9:20" ht="38.25" x14ac:dyDescent="0.25">
      <c r="I17" s="162" t="s">
        <v>88</v>
      </c>
      <c r="J17" s="81" t="s">
        <v>63</v>
      </c>
      <c r="K17" s="158">
        <v>5</v>
      </c>
      <c r="L17" s="158"/>
      <c r="M17" s="158">
        <v>10</v>
      </c>
      <c r="N17" s="158"/>
      <c r="O17" s="158">
        <v>15</v>
      </c>
      <c r="P17" s="158"/>
      <c r="Q17" s="161">
        <v>20</v>
      </c>
      <c r="R17" s="161"/>
      <c r="S17" s="161">
        <v>25</v>
      </c>
      <c r="T17" s="161"/>
    </row>
    <row r="18" spans="9:20" ht="38.25" x14ac:dyDescent="0.25">
      <c r="I18" s="162"/>
      <c r="J18" s="81" t="s">
        <v>9</v>
      </c>
      <c r="K18" s="160">
        <v>4</v>
      </c>
      <c r="L18" s="160"/>
      <c r="M18" s="158">
        <v>8</v>
      </c>
      <c r="N18" s="158"/>
      <c r="O18" s="158">
        <v>12</v>
      </c>
      <c r="P18" s="158"/>
      <c r="Q18" s="158">
        <v>16</v>
      </c>
      <c r="R18" s="158"/>
      <c r="S18" s="161">
        <v>20</v>
      </c>
      <c r="T18" s="161"/>
    </row>
    <row r="19" spans="9:20" ht="38.25" x14ac:dyDescent="0.25">
      <c r="I19" s="162"/>
      <c r="J19" s="81" t="s">
        <v>66</v>
      </c>
      <c r="K19" s="157">
        <v>3</v>
      </c>
      <c r="L19" s="157"/>
      <c r="M19" s="159">
        <v>6</v>
      </c>
      <c r="N19" s="159"/>
      <c r="O19" s="158">
        <v>9</v>
      </c>
      <c r="P19" s="158"/>
      <c r="Q19" s="158">
        <v>12</v>
      </c>
      <c r="R19" s="158"/>
      <c r="S19" s="158">
        <v>15</v>
      </c>
      <c r="T19" s="158"/>
    </row>
    <row r="20" spans="9:20" ht="38.25" x14ac:dyDescent="0.25">
      <c r="I20" s="162"/>
      <c r="J20" s="81" t="s">
        <v>10</v>
      </c>
      <c r="K20" s="157">
        <v>2</v>
      </c>
      <c r="L20" s="157"/>
      <c r="M20" s="158">
        <v>4</v>
      </c>
      <c r="N20" s="158"/>
      <c r="O20" s="158">
        <v>6</v>
      </c>
      <c r="P20" s="158"/>
      <c r="Q20" s="159">
        <v>8</v>
      </c>
      <c r="R20" s="159"/>
      <c r="S20" s="158">
        <v>10</v>
      </c>
      <c r="T20" s="158"/>
    </row>
    <row r="21" spans="9:20" ht="38.25" x14ac:dyDescent="0.25">
      <c r="I21" s="162"/>
      <c r="J21" s="82" t="s">
        <v>11</v>
      </c>
      <c r="K21" s="160">
        <v>1</v>
      </c>
      <c r="L21" s="160"/>
      <c r="M21" s="160">
        <v>2</v>
      </c>
      <c r="N21" s="160"/>
      <c r="O21" s="160">
        <v>3</v>
      </c>
      <c r="P21" s="160"/>
      <c r="Q21" s="157">
        <v>4</v>
      </c>
      <c r="R21" s="157"/>
      <c r="S21" s="158">
        <v>5</v>
      </c>
      <c r="T21" s="158"/>
    </row>
    <row r="22" spans="9:20" ht="41.1" customHeight="1" x14ac:dyDescent="0.3">
      <c r="I22" s="21"/>
      <c r="J22" s="21"/>
      <c r="K22" s="156" t="s">
        <v>74</v>
      </c>
      <c r="L22" s="156"/>
      <c r="M22" s="156" t="s">
        <v>14</v>
      </c>
      <c r="N22" s="156"/>
      <c r="O22" s="156" t="s">
        <v>8</v>
      </c>
      <c r="P22" s="156"/>
      <c r="Q22" s="156" t="s">
        <v>12</v>
      </c>
      <c r="R22" s="156"/>
      <c r="S22" s="156" t="s">
        <v>75</v>
      </c>
      <c r="T22" s="156"/>
    </row>
    <row r="23" spans="9:20" ht="33" x14ac:dyDescent="0.3">
      <c r="I23" s="21"/>
      <c r="J23" s="21"/>
      <c r="K23" s="155" t="s">
        <v>87</v>
      </c>
      <c r="L23" s="155"/>
      <c r="M23" s="155"/>
      <c r="N23" s="155"/>
      <c r="O23" s="155"/>
      <c r="P23" s="155"/>
      <c r="Q23" s="155"/>
      <c r="R23" s="155"/>
      <c r="S23" s="155"/>
      <c r="T23" s="155"/>
    </row>
  </sheetData>
  <mergeCells count="32">
    <mergeCell ref="S17:T17"/>
    <mergeCell ref="K18:L18"/>
    <mergeCell ref="M18:N18"/>
    <mergeCell ref="O18:P18"/>
    <mergeCell ref="Q18:R18"/>
    <mergeCell ref="I17:I21"/>
    <mergeCell ref="K17:L17"/>
    <mergeCell ref="M17:N17"/>
    <mergeCell ref="O17:P17"/>
    <mergeCell ref="Q17:R17"/>
    <mergeCell ref="S18:T18"/>
    <mergeCell ref="K19:L19"/>
    <mergeCell ref="M19:N19"/>
    <mergeCell ref="O19:P19"/>
    <mergeCell ref="Q19:R19"/>
    <mergeCell ref="S19:T19"/>
    <mergeCell ref="K21:L21"/>
    <mergeCell ref="M21:N21"/>
    <mergeCell ref="O21:P21"/>
    <mergeCell ref="Q21:R21"/>
    <mergeCell ref="S21:T21"/>
    <mergeCell ref="K20:L20"/>
    <mergeCell ref="M20:N20"/>
    <mergeCell ref="O20:P20"/>
    <mergeCell ref="Q20:R20"/>
    <mergeCell ref="S20:T20"/>
    <mergeCell ref="K23:T23"/>
    <mergeCell ref="K22:L22"/>
    <mergeCell ref="M22:N22"/>
    <mergeCell ref="O22:P22"/>
    <mergeCell ref="Q22:R22"/>
    <mergeCell ref="S22:T22"/>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BB197-4AB6-477C-906F-EA67B72F5A19}">
  <dimension ref="A1:AC972"/>
  <sheetViews>
    <sheetView showGridLines="0" zoomScale="114" zoomScaleNormal="85" workbookViewId="0">
      <pane ySplit="6" topLeftCell="A7" activePane="bottomLeft" state="frozen"/>
      <selection pane="bottomLeft" activeCell="L7" sqref="L7"/>
    </sheetView>
  </sheetViews>
  <sheetFormatPr defaultColWidth="9.140625" defaultRowHeight="20.25" x14ac:dyDescent="0.35"/>
  <cols>
    <col min="1" max="1" width="8.7109375" style="21" customWidth="1"/>
    <col min="2" max="2" width="25.140625" style="21" bestFit="1" customWidth="1"/>
    <col min="3" max="3" width="17.42578125" style="23" customWidth="1"/>
    <col min="4" max="4" width="17.42578125" style="21" customWidth="1"/>
    <col min="5" max="5" width="3.7109375" style="22" customWidth="1"/>
    <col min="6" max="6" width="8" style="22" customWidth="1"/>
    <col min="7" max="11" width="6.85546875" style="22" customWidth="1"/>
    <col min="12" max="20" width="6.85546875" style="21" customWidth="1"/>
    <col min="21" max="27" width="6.85546875" style="22" customWidth="1"/>
    <col min="28" max="29" width="6.85546875" style="21" customWidth="1"/>
    <col min="30" max="30" width="16.140625" style="21" customWidth="1"/>
    <col min="31" max="31" width="7.42578125" style="21" customWidth="1"/>
    <col min="32" max="32" width="11.42578125" style="21" customWidth="1"/>
    <col min="33" max="33" width="9.140625" style="21" customWidth="1"/>
    <col min="34" max="16384" width="9.140625" style="21"/>
  </cols>
  <sheetData>
    <row r="1" spans="1:29" ht="134.25" customHeight="1" x14ac:dyDescent="0.35"/>
    <row r="3" spans="1:29" ht="16.5" x14ac:dyDescent="0.3">
      <c r="C3" s="50" t="s">
        <v>286</v>
      </c>
      <c r="D3" s="51">
        <v>45292</v>
      </c>
    </row>
    <row r="4" spans="1:29" ht="16.5" x14ac:dyDescent="0.3">
      <c r="C4" s="50" t="s">
        <v>287</v>
      </c>
      <c r="D4" s="52">
        <v>1</v>
      </c>
    </row>
    <row r="6" spans="1:29" customFormat="1" ht="74.25" customHeight="1" x14ac:dyDescent="0.25">
      <c r="B6" s="115" t="s">
        <v>288</v>
      </c>
      <c r="C6" s="127" t="s">
        <v>289</v>
      </c>
      <c r="D6" s="128" t="s">
        <v>290</v>
      </c>
      <c r="F6" s="83">
        <f>D3</f>
        <v>45292</v>
      </c>
      <c r="G6" s="84">
        <f t="shared" ref="G6:AC6" si="0">EDATE(F6,$D$4)</f>
        <v>45323</v>
      </c>
      <c r="H6" s="84">
        <f t="shared" si="0"/>
        <v>45352</v>
      </c>
      <c r="I6" s="84">
        <f t="shared" si="0"/>
        <v>45383</v>
      </c>
      <c r="J6" s="84">
        <f t="shared" si="0"/>
        <v>45413</v>
      </c>
      <c r="K6" s="84">
        <f t="shared" si="0"/>
        <v>45444</v>
      </c>
      <c r="L6" s="84">
        <f t="shared" si="0"/>
        <v>45474</v>
      </c>
      <c r="M6" s="84">
        <f t="shared" si="0"/>
        <v>45505</v>
      </c>
      <c r="N6" s="84">
        <f t="shared" si="0"/>
        <v>45536</v>
      </c>
      <c r="O6" s="84">
        <f t="shared" si="0"/>
        <v>45566</v>
      </c>
      <c r="P6" s="84">
        <f t="shared" si="0"/>
        <v>45597</v>
      </c>
      <c r="Q6" s="84">
        <f t="shared" si="0"/>
        <v>45627</v>
      </c>
      <c r="R6" s="84">
        <f t="shared" si="0"/>
        <v>45658</v>
      </c>
      <c r="S6" s="84">
        <f t="shared" si="0"/>
        <v>45689</v>
      </c>
      <c r="T6" s="84">
        <f t="shared" si="0"/>
        <v>45717</v>
      </c>
      <c r="U6" s="84">
        <f t="shared" si="0"/>
        <v>45748</v>
      </c>
      <c r="V6" s="84">
        <f t="shared" si="0"/>
        <v>45778</v>
      </c>
      <c r="W6" s="84">
        <f t="shared" si="0"/>
        <v>45809</v>
      </c>
      <c r="X6" s="84">
        <f t="shared" si="0"/>
        <v>45839</v>
      </c>
      <c r="Y6" s="84">
        <f t="shared" si="0"/>
        <v>45870</v>
      </c>
      <c r="Z6" s="84">
        <f t="shared" si="0"/>
        <v>45901</v>
      </c>
      <c r="AA6" s="84">
        <f t="shared" si="0"/>
        <v>45931</v>
      </c>
      <c r="AB6" s="84">
        <f t="shared" si="0"/>
        <v>45962</v>
      </c>
      <c r="AC6" s="85">
        <f t="shared" si="0"/>
        <v>45992</v>
      </c>
    </row>
    <row r="7" spans="1:29" customFormat="1" ht="15" x14ac:dyDescent="0.25">
      <c r="B7" s="116" t="s">
        <v>336</v>
      </c>
      <c r="C7" s="123">
        <v>45391</v>
      </c>
      <c r="D7" s="124">
        <v>45619</v>
      </c>
      <c r="F7" s="86" t="str">
        <f t="shared" ref="F7:O22" si="1">IF(AND(F$6&gt;=$C7, F$6&lt;=$D7),"1","")</f>
        <v/>
      </c>
      <c r="G7" s="80" t="str">
        <f t="shared" si="1"/>
        <v/>
      </c>
      <c r="H7" s="80" t="str">
        <f t="shared" si="1"/>
        <v/>
      </c>
      <c r="I7" s="80" t="str">
        <f t="shared" si="1"/>
        <v/>
      </c>
      <c r="J7" s="206" t="str">
        <f t="shared" si="1"/>
        <v>1</v>
      </c>
      <c r="K7" s="206" t="str">
        <f t="shared" si="1"/>
        <v>1</v>
      </c>
      <c r="L7" s="206" t="str">
        <f t="shared" si="1"/>
        <v>1</v>
      </c>
      <c r="M7" s="206" t="str">
        <f t="shared" si="1"/>
        <v>1</v>
      </c>
      <c r="N7" s="206" t="str">
        <f t="shared" si="1"/>
        <v>1</v>
      </c>
      <c r="O7" s="206" t="str">
        <f t="shared" si="1"/>
        <v>1</v>
      </c>
      <c r="P7" s="206" t="str">
        <f t="shared" ref="P7:AC22" si="2">IF(AND(P$6&gt;=$C7, P$6&lt;=$D7),"1","")</f>
        <v>1</v>
      </c>
      <c r="Q7" s="80" t="str">
        <f t="shared" si="2"/>
        <v/>
      </c>
      <c r="R7" s="80" t="str">
        <f t="shared" si="2"/>
        <v/>
      </c>
      <c r="S7" s="80" t="str">
        <f t="shared" si="2"/>
        <v/>
      </c>
      <c r="T7" s="80" t="str">
        <f t="shared" si="2"/>
        <v/>
      </c>
      <c r="U7" s="80" t="str">
        <f t="shared" si="2"/>
        <v/>
      </c>
      <c r="V7" s="80" t="str">
        <f t="shared" si="2"/>
        <v/>
      </c>
      <c r="W7" s="80" t="str">
        <f t="shared" si="2"/>
        <v/>
      </c>
      <c r="X7" s="80" t="str">
        <f t="shared" si="2"/>
        <v/>
      </c>
      <c r="Y7" s="80" t="str">
        <f t="shared" si="2"/>
        <v/>
      </c>
      <c r="Z7" s="80" t="str">
        <f t="shared" si="2"/>
        <v/>
      </c>
      <c r="AA7" s="80" t="str">
        <f t="shared" si="2"/>
        <v/>
      </c>
      <c r="AB7" s="80" t="str">
        <f t="shared" si="2"/>
        <v/>
      </c>
      <c r="AC7" s="87" t="str">
        <f t="shared" si="2"/>
        <v/>
      </c>
    </row>
    <row r="8" spans="1:29" customFormat="1" ht="15" x14ac:dyDescent="0.25">
      <c r="B8" s="117" t="s">
        <v>337</v>
      </c>
      <c r="C8" s="125">
        <v>45325</v>
      </c>
      <c r="D8" s="92">
        <v>45577</v>
      </c>
      <c r="F8" s="86" t="str">
        <f t="shared" si="1"/>
        <v/>
      </c>
      <c r="G8" s="80" t="str">
        <f t="shared" si="1"/>
        <v/>
      </c>
      <c r="H8" s="80" t="str">
        <f t="shared" si="1"/>
        <v>1</v>
      </c>
      <c r="I8" s="80" t="str">
        <f t="shared" si="1"/>
        <v>1</v>
      </c>
      <c r="J8" s="80" t="str">
        <f t="shared" si="1"/>
        <v>1</v>
      </c>
      <c r="K8" s="80" t="str">
        <f t="shared" si="1"/>
        <v>1</v>
      </c>
      <c r="L8" s="80" t="str">
        <f t="shared" si="1"/>
        <v>1</v>
      </c>
      <c r="M8" s="80" t="str">
        <f t="shared" si="1"/>
        <v>1</v>
      </c>
      <c r="N8" s="80" t="str">
        <f t="shared" si="1"/>
        <v>1</v>
      </c>
      <c r="O8" s="80" t="str">
        <f t="shared" si="1"/>
        <v>1</v>
      </c>
      <c r="P8" s="80" t="str">
        <f t="shared" si="2"/>
        <v/>
      </c>
      <c r="Q8" s="80" t="str">
        <f t="shared" si="2"/>
        <v/>
      </c>
      <c r="R8" s="80" t="str">
        <f t="shared" si="2"/>
        <v/>
      </c>
      <c r="S8" s="80" t="str">
        <f t="shared" si="2"/>
        <v/>
      </c>
      <c r="T8" s="80" t="str">
        <f t="shared" si="2"/>
        <v/>
      </c>
      <c r="U8" s="80" t="str">
        <f t="shared" si="2"/>
        <v/>
      </c>
      <c r="V8" s="80" t="str">
        <f t="shared" si="2"/>
        <v/>
      </c>
      <c r="W8" s="80" t="str">
        <f t="shared" si="2"/>
        <v/>
      </c>
      <c r="X8" s="80" t="str">
        <f t="shared" si="2"/>
        <v/>
      </c>
      <c r="Y8" s="80" t="str">
        <f t="shared" si="2"/>
        <v/>
      </c>
      <c r="Z8" s="80" t="str">
        <f t="shared" si="2"/>
        <v/>
      </c>
      <c r="AA8" s="80" t="str">
        <f t="shared" si="2"/>
        <v/>
      </c>
      <c r="AB8" s="80" t="str">
        <f t="shared" si="2"/>
        <v/>
      </c>
      <c r="AC8" s="87" t="str">
        <f t="shared" si="2"/>
        <v/>
      </c>
    </row>
    <row r="9" spans="1:29" customFormat="1" ht="15" x14ac:dyDescent="0.25">
      <c r="B9" s="117" t="s">
        <v>338</v>
      </c>
      <c r="C9" s="125">
        <v>45326</v>
      </c>
      <c r="D9" s="92">
        <v>45598</v>
      </c>
      <c r="F9" s="86" t="str">
        <f t="shared" si="1"/>
        <v/>
      </c>
      <c r="G9" s="80" t="str">
        <f t="shared" si="1"/>
        <v/>
      </c>
      <c r="H9" s="80" t="str">
        <f t="shared" si="1"/>
        <v>1</v>
      </c>
      <c r="I9" s="80" t="str">
        <f t="shared" si="1"/>
        <v>1</v>
      </c>
      <c r="J9" s="80" t="str">
        <f t="shared" si="1"/>
        <v>1</v>
      </c>
      <c r="K9" s="80" t="str">
        <f t="shared" si="1"/>
        <v>1</v>
      </c>
      <c r="L9" s="80" t="str">
        <f t="shared" si="1"/>
        <v>1</v>
      </c>
      <c r="M9" s="80" t="str">
        <f t="shared" si="1"/>
        <v>1</v>
      </c>
      <c r="N9" s="80" t="str">
        <f t="shared" si="1"/>
        <v>1</v>
      </c>
      <c r="O9" s="80" t="str">
        <f t="shared" si="1"/>
        <v>1</v>
      </c>
      <c r="P9" s="80" t="str">
        <f t="shared" si="2"/>
        <v>1</v>
      </c>
      <c r="Q9" s="80" t="str">
        <f t="shared" si="2"/>
        <v/>
      </c>
      <c r="R9" s="80" t="str">
        <f t="shared" si="2"/>
        <v/>
      </c>
      <c r="S9" s="80" t="str">
        <f t="shared" si="2"/>
        <v/>
      </c>
      <c r="T9" s="80" t="str">
        <f t="shared" si="2"/>
        <v/>
      </c>
      <c r="U9" s="80" t="str">
        <f t="shared" si="2"/>
        <v/>
      </c>
      <c r="V9" s="80" t="str">
        <f t="shared" si="2"/>
        <v/>
      </c>
      <c r="W9" s="80" t="str">
        <f t="shared" si="2"/>
        <v/>
      </c>
      <c r="X9" s="80" t="str">
        <f t="shared" si="2"/>
        <v/>
      </c>
      <c r="Y9" s="80" t="str">
        <f t="shared" si="2"/>
        <v/>
      </c>
      <c r="Z9" s="80" t="str">
        <f t="shared" si="2"/>
        <v/>
      </c>
      <c r="AA9" s="80" t="str">
        <f t="shared" si="2"/>
        <v/>
      </c>
      <c r="AB9" s="80" t="str">
        <f t="shared" si="2"/>
        <v/>
      </c>
      <c r="AC9" s="87" t="str">
        <f t="shared" si="2"/>
        <v/>
      </c>
    </row>
    <row r="10" spans="1:29" customFormat="1" ht="15" x14ac:dyDescent="0.25">
      <c r="B10" s="118" t="s">
        <v>339</v>
      </c>
      <c r="C10" s="126">
        <v>45339</v>
      </c>
      <c r="D10" s="122">
        <v>45515</v>
      </c>
      <c r="F10" s="86" t="str">
        <f t="shared" si="1"/>
        <v/>
      </c>
      <c r="G10" s="80" t="str">
        <f t="shared" si="1"/>
        <v/>
      </c>
      <c r="H10" s="80" t="str">
        <f t="shared" si="1"/>
        <v>1</v>
      </c>
      <c r="I10" s="80" t="str">
        <f t="shared" si="1"/>
        <v>1</v>
      </c>
      <c r="J10" s="80" t="str">
        <f t="shared" si="1"/>
        <v>1</v>
      </c>
      <c r="K10" s="80" t="str">
        <f t="shared" si="1"/>
        <v>1</v>
      </c>
      <c r="L10" s="80" t="str">
        <f t="shared" si="1"/>
        <v>1</v>
      </c>
      <c r="M10" s="80" t="str">
        <f t="shared" si="1"/>
        <v>1</v>
      </c>
      <c r="N10" s="80" t="str">
        <f t="shared" si="1"/>
        <v/>
      </c>
      <c r="O10" s="80" t="str">
        <f t="shared" si="1"/>
        <v/>
      </c>
      <c r="P10" s="80" t="str">
        <f t="shared" si="2"/>
        <v/>
      </c>
      <c r="Q10" s="80" t="str">
        <f t="shared" si="2"/>
        <v/>
      </c>
      <c r="R10" s="80" t="str">
        <f t="shared" si="2"/>
        <v/>
      </c>
      <c r="S10" s="80" t="str">
        <f t="shared" si="2"/>
        <v/>
      </c>
      <c r="T10" s="80" t="str">
        <f t="shared" si="2"/>
        <v/>
      </c>
      <c r="U10" s="80" t="str">
        <f t="shared" si="2"/>
        <v/>
      </c>
      <c r="V10" s="80" t="str">
        <f t="shared" si="2"/>
        <v/>
      </c>
      <c r="W10" s="80" t="str">
        <f t="shared" si="2"/>
        <v/>
      </c>
      <c r="X10" s="80" t="str">
        <f t="shared" si="2"/>
        <v/>
      </c>
      <c r="Y10" s="80" t="str">
        <f t="shared" si="2"/>
        <v/>
      </c>
      <c r="Z10" s="80" t="str">
        <f t="shared" si="2"/>
        <v/>
      </c>
      <c r="AA10" s="80" t="str">
        <f t="shared" si="2"/>
        <v/>
      </c>
      <c r="AB10" s="80" t="str">
        <f t="shared" si="2"/>
        <v/>
      </c>
      <c r="AC10" s="87" t="str">
        <f t="shared" si="2"/>
        <v/>
      </c>
    </row>
    <row r="11" spans="1:29" ht="16.5" x14ac:dyDescent="0.3">
      <c r="A11"/>
      <c r="B11" s="93"/>
      <c r="C11"/>
      <c r="D11" s="94"/>
      <c r="F11" s="86" t="str">
        <f t="shared" si="1"/>
        <v/>
      </c>
      <c r="G11" s="80" t="str">
        <f t="shared" si="1"/>
        <v/>
      </c>
      <c r="H11" s="80" t="str">
        <f t="shared" si="1"/>
        <v/>
      </c>
      <c r="I11" s="80" t="str">
        <f t="shared" si="1"/>
        <v/>
      </c>
      <c r="J11" s="80" t="str">
        <f t="shared" si="1"/>
        <v/>
      </c>
      <c r="K11" s="80" t="str">
        <f t="shared" si="1"/>
        <v/>
      </c>
      <c r="L11" s="80" t="str">
        <f t="shared" si="1"/>
        <v/>
      </c>
      <c r="M11" s="80" t="str">
        <f t="shared" si="1"/>
        <v/>
      </c>
      <c r="N11" s="80" t="str">
        <f t="shared" si="1"/>
        <v/>
      </c>
      <c r="O11" s="80" t="str">
        <f t="shared" si="1"/>
        <v/>
      </c>
      <c r="P11" s="80" t="str">
        <f t="shared" si="2"/>
        <v/>
      </c>
      <c r="Q11" s="80" t="str">
        <f t="shared" si="2"/>
        <v/>
      </c>
      <c r="R11" s="80" t="str">
        <f t="shared" si="2"/>
        <v/>
      </c>
      <c r="S11" s="80" t="str">
        <f t="shared" si="2"/>
        <v/>
      </c>
      <c r="T11" s="80" t="str">
        <f t="shared" si="2"/>
        <v/>
      </c>
      <c r="U11" s="80" t="str">
        <f t="shared" si="2"/>
        <v/>
      </c>
      <c r="V11" s="80" t="str">
        <f t="shared" si="2"/>
        <v/>
      </c>
      <c r="W11" s="80" t="str">
        <f t="shared" si="2"/>
        <v/>
      </c>
      <c r="X11" s="80" t="str">
        <f t="shared" si="2"/>
        <v/>
      </c>
      <c r="Y11" s="80" t="str">
        <f t="shared" si="2"/>
        <v/>
      </c>
      <c r="Z11" s="80" t="str">
        <f t="shared" si="2"/>
        <v/>
      </c>
      <c r="AA11" s="80" t="str">
        <f t="shared" si="2"/>
        <v/>
      </c>
      <c r="AB11" s="80" t="str">
        <f t="shared" si="2"/>
        <v/>
      </c>
      <c r="AC11" s="87" t="str">
        <f t="shared" si="2"/>
        <v/>
      </c>
    </row>
    <row r="12" spans="1:29" x14ac:dyDescent="0.35">
      <c r="A12"/>
      <c r="B12" s="95"/>
      <c r="D12" s="96"/>
      <c r="F12" s="86" t="str">
        <f t="shared" si="1"/>
        <v/>
      </c>
      <c r="G12" s="80" t="str">
        <f t="shared" si="1"/>
        <v/>
      </c>
      <c r="H12" s="80" t="str">
        <f t="shared" si="1"/>
        <v/>
      </c>
      <c r="I12" s="80" t="str">
        <f t="shared" si="1"/>
        <v/>
      </c>
      <c r="J12" s="80" t="str">
        <f t="shared" si="1"/>
        <v/>
      </c>
      <c r="K12" s="80" t="str">
        <f t="shared" si="1"/>
        <v/>
      </c>
      <c r="L12" s="80" t="str">
        <f t="shared" si="1"/>
        <v/>
      </c>
      <c r="M12" s="80" t="str">
        <f t="shared" si="1"/>
        <v/>
      </c>
      <c r="N12" s="80" t="str">
        <f t="shared" si="1"/>
        <v/>
      </c>
      <c r="O12" s="80" t="str">
        <f t="shared" si="1"/>
        <v/>
      </c>
      <c r="P12" s="80" t="str">
        <f t="shared" si="2"/>
        <v/>
      </c>
      <c r="Q12" s="80" t="str">
        <f t="shared" si="2"/>
        <v/>
      </c>
      <c r="R12" s="80" t="str">
        <f t="shared" si="2"/>
        <v/>
      </c>
      <c r="S12" s="80" t="str">
        <f t="shared" si="2"/>
        <v/>
      </c>
      <c r="T12" s="80" t="str">
        <f t="shared" si="2"/>
        <v/>
      </c>
      <c r="U12" s="80" t="str">
        <f t="shared" si="2"/>
        <v/>
      </c>
      <c r="V12" s="80" t="str">
        <f t="shared" si="2"/>
        <v/>
      </c>
      <c r="W12" s="80" t="str">
        <f t="shared" si="2"/>
        <v/>
      </c>
      <c r="X12" s="80" t="str">
        <f t="shared" si="2"/>
        <v/>
      </c>
      <c r="Y12" s="80" t="str">
        <f t="shared" si="2"/>
        <v/>
      </c>
      <c r="Z12" s="80" t="str">
        <f t="shared" si="2"/>
        <v/>
      </c>
      <c r="AA12" s="80" t="str">
        <f t="shared" si="2"/>
        <v/>
      </c>
      <c r="AB12" s="80" t="str">
        <f t="shared" si="2"/>
        <v/>
      </c>
      <c r="AC12" s="87" t="str">
        <f t="shared" si="2"/>
        <v/>
      </c>
    </row>
    <row r="13" spans="1:29" x14ac:dyDescent="0.35">
      <c r="A13"/>
      <c r="B13" s="95"/>
      <c r="D13" s="96"/>
      <c r="F13" s="86" t="str">
        <f t="shared" si="1"/>
        <v/>
      </c>
      <c r="G13" s="80" t="str">
        <f t="shared" si="1"/>
        <v/>
      </c>
      <c r="H13" s="80" t="str">
        <f t="shared" si="1"/>
        <v/>
      </c>
      <c r="I13" s="80" t="str">
        <f t="shared" si="1"/>
        <v/>
      </c>
      <c r="J13" s="80" t="str">
        <f t="shared" si="1"/>
        <v/>
      </c>
      <c r="K13" s="80" t="str">
        <f t="shared" si="1"/>
        <v/>
      </c>
      <c r="L13" s="80" t="str">
        <f t="shared" si="1"/>
        <v/>
      </c>
      <c r="M13" s="80" t="str">
        <f t="shared" si="1"/>
        <v/>
      </c>
      <c r="N13" s="80" t="str">
        <f t="shared" si="1"/>
        <v/>
      </c>
      <c r="O13" s="80" t="str">
        <f t="shared" si="1"/>
        <v/>
      </c>
      <c r="P13" s="80" t="str">
        <f t="shared" si="2"/>
        <v/>
      </c>
      <c r="Q13" s="80" t="str">
        <f t="shared" si="2"/>
        <v/>
      </c>
      <c r="R13" s="80" t="str">
        <f t="shared" si="2"/>
        <v/>
      </c>
      <c r="S13" s="80" t="str">
        <f t="shared" si="2"/>
        <v/>
      </c>
      <c r="T13" s="80" t="str">
        <f t="shared" si="2"/>
        <v/>
      </c>
      <c r="U13" s="80" t="str">
        <f t="shared" si="2"/>
        <v/>
      </c>
      <c r="V13" s="80" t="str">
        <f t="shared" si="2"/>
        <v/>
      </c>
      <c r="W13" s="80" t="str">
        <f t="shared" si="2"/>
        <v/>
      </c>
      <c r="X13" s="80" t="str">
        <f t="shared" si="2"/>
        <v/>
      </c>
      <c r="Y13" s="80" t="str">
        <f t="shared" si="2"/>
        <v/>
      </c>
      <c r="Z13" s="80" t="str">
        <f t="shared" si="2"/>
        <v/>
      </c>
      <c r="AA13" s="80" t="str">
        <f t="shared" si="2"/>
        <v/>
      </c>
      <c r="AB13" s="80" t="str">
        <f t="shared" si="2"/>
        <v/>
      </c>
      <c r="AC13" s="87" t="str">
        <f t="shared" si="2"/>
        <v/>
      </c>
    </row>
    <row r="14" spans="1:29" x14ac:dyDescent="0.35">
      <c r="A14"/>
      <c r="B14" s="95"/>
      <c r="D14" s="96"/>
      <c r="F14" s="86" t="str">
        <f t="shared" si="1"/>
        <v/>
      </c>
      <c r="G14" s="80" t="str">
        <f t="shared" si="1"/>
        <v/>
      </c>
      <c r="H14" s="80" t="str">
        <f t="shared" si="1"/>
        <v/>
      </c>
      <c r="I14" s="80" t="str">
        <f t="shared" si="1"/>
        <v/>
      </c>
      <c r="J14" s="80" t="str">
        <f t="shared" si="1"/>
        <v/>
      </c>
      <c r="K14" s="80" t="str">
        <f t="shared" si="1"/>
        <v/>
      </c>
      <c r="L14" s="80" t="str">
        <f t="shared" si="1"/>
        <v/>
      </c>
      <c r="M14" s="80" t="str">
        <f t="shared" si="1"/>
        <v/>
      </c>
      <c r="N14" s="80" t="str">
        <f t="shared" si="1"/>
        <v/>
      </c>
      <c r="O14" s="80" t="str">
        <f t="shared" si="1"/>
        <v/>
      </c>
      <c r="P14" s="80" t="str">
        <f t="shared" si="2"/>
        <v/>
      </c>
      <c r="Q14" s="80" t="str">
        <f t="shared" si="2"/>
        <v/>
      </c>
      <c r="R14" s="80" t="str">
        <f t="shared" si="2"/>
        <v/>
      </c>
      <c r="S14" s="80" t="str">
        <f t="shared" si="2"/>
        <v/>
      </c>
      <c r="T14" s="80" t="str">
        <f t="shared" si="2"/>
        <v/>
      </c>
      <c r="U14" s="80" t="str">
        <f t="shared" si="2"/>
        <v/>
      </c>
      <c r="V14" s="80" t="str">
        <f t="shared" si="2"/>
        <v/>
      </c>
      <c r="W14" s="80" t="str">
        <f t="shared" si="2"/>
        <v/>
      </c>
      <c r="X14" s="80" t="str">
        <f t="shared" si="2"/>
        <v/>
      </c>
      <c r="Y14" s="80" t="str">
        <f t="shared" si="2"/>
        <v/>
      </c>
      <c r="Z14" s="80" t="str">
        <f t="shared" si="2"/>
        <v/>
      </c>
      <c r="AA14" s="80" t="str">
        <f t="shared" si="2"/>
        <v/>
      </c>
      <c r="AB14" s="80" t="str">
        <f t="shared" si="2"/>
        <v/>
      </c>
      <c r="AC14" s="87" t="str">
        <f t="shared" si="2"/>
        <v/>
      </c>
    </row>
    <row r="15" spans="1:29" x14ac:dyDescent="0.35">
      <c r="A15"/>
      <c r="B15" s="95"/>
      <c r="D15" s="96"/>
      <c r="F15" s="86" t="str">
        <f t="shared" si="1"/>
        <v/>
      </c>
      <c r="G15" s="80" t="str">
        <f t="shared" si="1"/>
        <v/>
      </c>
      <c r="H15" s="80" t="str">
        <f t="shared" si="1"/>
        <v/>
      </c>
      <c r="I15" s="80" t="str">
        <f t="shared" si="1"/>
        <v/>
      </c>
      <c r="J15" s="80" t="str">
        <f t="shared" si="1"/>
        <v/>
      </c>
      <c r="K15" s="80" t="str">
        <f t="shared" si="1"/>
        <v/>
      </c>
      <c r="L15" s="80" t="str">
        <f t="shared" si="1"/>
        <v/>
      </c>
      <c r="M15" s="80" t="str">
        <f t="shared" si="1"/>
        <v/>
      </c>
      <c r="N15" s="80" t="str">
        <f t="shared" si="1"/>
        <v/>
      </c>
      <c r="O15" s="80" t="str">
        <f t="shared" si="1"/>
        <v/>
      </c>
      <c r="P15" s="80" t="str">
        <f t="shared" si="2"/>
        <v/>
      </c>
      <c r="Q15" s="80" t="str">
        <f t="shared" si="2"/>
        <v/>
      </c>
      <c r="R15" s="80" t="str">
        <f t="shared" si="2"/>
        <v/>
      </c>
      <c r="S15" s="80" t="str">
        <f t="shared" si="2"/>
        <v/>
      </c>
      <c r="T15" s="80" t="str">
        <f t="shared" si="2"/>
        <v/>
      </c>
      <c r="U15" s="80" t="str">
        <f t="shared" si="2"/>
        <v/>
      </c>
      <c r="V15" s="80" t="str">
        <f t="shared" si="2"/>
        <v/>
      </c>
      <c r="W15" s="80" t="str">
        <f t="shared" si="2"/>
        <v/>
      </c>
      <c r="X15" s="80" t="str">
        <f t="shared" si="2"/>
        <v/>
      </c>
      <c r="Y15" s="80" t="str">
        <f t="shared" si="2"/>
        <v/>
      </c>
      <c r="Z15" s="80" t="str">
        <f t="shared" si="2"/>
        <v/>
      </c>
      <c r="AA15" s="80" t="str">
        <f t="shared" si="2"/>
        <v/>
      </c>
      <c r="AB15" s="80" t="str">
        <f t="shared" si="2"/>
        <v/>
      </c>
      <c r="AC15" s="87" t="str">
        <f t="shared" si="2"/>
        <v/>
      </c>
    </row>
    <row r="16" spans="1:29" x14ac:dyDescent="0.35">
      <c r="A16"/>
      <c r="B16" s="95"/>
      <c r="D16" s="96"/>
      <c r="F16" s="86" t="str">
        <f t="shared" si="1"/>
        <v/>
      </c>
      <c r="G16" s="80" t="str">
        <f t="shared" si="1"/>
        <v/>
      </c>
      <c r="H16" s="80" t="str">
        <f t="shared" si="1"/>
        <v/>
      </c>
      <c r="I16" s="80" t="str">
        <f t="shared" si="1"/>
        <v/>
      </c>
      <c r="J16" s="80" t="str">
        <f t="shared" si="1"/>
        <v/>
      </c>
      <c r="K16" s="80" t="str">
        <f t="shared" si="1"/>
        <v/>
      </c>
      <c r="L16" s="80" t="str">
        <f t="shared" si="1"/>
        <v/>
      </c>
      <c r="M16" s="80" t="str">
        <f t="shared" si="1"/>
        <v/>
      </c>
      <c r="N16" s="80" t="str">
        <f t="shared" si="1"/>
        <v/>
      </c>
      <c r="O16" s="80" t="str">
        <f t="shared" si="1"/>
        <v/>
      </c>
      <c r="P16" s="80" t="str">
        <f t="shared" si="2"/>
        <v/>
      </c>
      <c r="Q16" s="80" t="str">
        <f t="shared" si="2"/>
        <v/>
      </c>
      <c r="R16" s="80" t="str">
        <f t="shared" si="2"/>
        <v/>
      </c>
      <c r="S16" s="80" t="str">
        <f t="shared" si="2"/>
        <v/>
      </c>
      <c r="T16" s="80" t="str">
        <f t="shared" si="2"/>
        <v/>
      </c>
      <c r="U16" s="80" t="str">
        <f t="shared" si="2"/>
        <v/>
      </c>
      <c r="V16" s="80" t="str">
        <f t="shared" si="2"/>
        <v/>
      </c>
      <c r="W16" s="80" t="str">
        <f t="shared" si="2"/>
        <v/>
      </c>
      <c r="X16" s="80" t="str">
        <f t="shared" si="2"/>
        <v/>
      </c>
      <c r="Y16" s="80" t="str">
        <f t="shared" si="2"/>
        <v/>
      </c>
      <c r="Z16" s="80" t="str">
        <f t="shared" si="2"/>
        <v/>
      </c>
      <c r="AA16" s="80" t="str">
        <f t="shared" si="2"/>
        <v/>
      </c>
      <c r="AB16" s="80" t="str">
        <f t="shared" si="2"/>
        <v/>
      </c>
      <c r="AC16" s="87" t="str">
        <f t="shared" si="2"/>
        <v/>
      </c>
    </row>
    <row r="17" spans="1:29" x14ac:dyDescent="0.35">
      <c r="A17"/>
      <c r="B17" s="95"/>
      <c r="D17" s="96"/>
      <c r="F17" s="86" t="str">
        <f t="shared" si="1"/>
        <v/>
      </c>
      <c r="G17" s="80" t="str">
        <f t="shared" si="1"/>
        <v/>
      </c>
      <c r="H17" s="80" t="str">
        <f t="shared" si="1"/>
        <v/>
      </c>
      <c r="I17" s="80" t="str">
        <f t="shared" si="1"/>
        <v/>
      </c>
      <c r="J17" s="80" t="str">
        <f t="shared" si="1"/>
        <v/>
      </c>
      <c r="K17" s="80" t="str">
        <f t="shared" si="1"/>
        <v/>
      </c>
      <c r="L17" s="80" t="str">
        <f t="shared" si="1"/>
        <v/>
      </c>
      <c r="M17" s="80" t="str">
        <f t="shared" si="1"/>
        <v/>
      </c>
      <c r="N17" s="80" t="str">
        <f t="shared" si="1"/>
        <v/>
      </c>
      <c r="O17" s="80" t="str">
        <f t="shared" si="1"/>
        <v/>
      </c>
      <c r="P17" s="80" t="str">
        <f t="shared" si="2"/>
        <v/>
      </c>
      <c r="Q17" s="80" t="str">
        <f t="shared" si="2"/>
        <v/>
      </c>
      <c r="R17" s="80" t="str">
        <f t="shared" si="2"/>
        <v/>
      </c>
      <c r="S17" s="80" t="str">
        <f t="shared" si="2"/>
        <v/>
      </c>
      <c r="T17" s="80" t="str">
        <f t="shared" si="2"/>
        <v/>
      </c>
      <c r="U17" s="80" t="str">
        <f t="shared" si="2"/>
        <v/>
      </c>
      <c r="V17" s="80" t="str">
        <f t="shared" si="2"/>
        <v/>
      </c>
      <c r="W17" s="80" t="str">
        <f t="shared" si="2"/>
        <v/>
      </c>
      <c r="X17" s="80" t="str">
        <f t="shared" si="2"/>
        <v/>
      </c>
      <c r="Y17" s="80" t="str">
        <f t="shared" si="2"/>
        <v/>
      </c>
      <c r="Z17" s="80" t="str">
        <f t="shared" si="2"/>
        <v/>
      </c>
      <c r="AA17" s="80" t="str">
        <f t="shared" si="2"/>
        <v/>
      </c>
      <c r="AB17" s="80" t="str">
        <f t="shared" si="2"/>
        <v/>
      </c>
      <c r="AC17" s="87" t="str">
        <f t="shared" si="2"/>
        <v/>
      </c>
    </row>
    <row r="18" spans="1:29" x14ac:dyDescent="0.35">
      <c r="A18"/>
      <c r="B18" s="95"/>
      <c r="D18" s="96"/>
      <c r="F18" s="86" t="str">
        <f t="shared" si="1"/>
        <v/>
      </c>
      <c r="G18" s="80" t="str">
        <f t="shared" si="1"/>
        <v/>
      </c>
      <c r="H18" s="80" t="str">
        <f t="shared" si="1"/>
        <v/>
      </c>
      <c r="I18" s="80" t="str">
        <f t="shared" si="1"/>
        <v/>
      </c>
      <c r="J18" s="80" t="str">
        <f t="shared" si="1"/>
        <v/>
      </c>
      <c r="K18" s="80" t="str">
        <f t="shared" si="1"/>
        <v/>
      </c>
      <c r="L18" s="80" t="str">
        <f t="shared" si="1"/>
        <v/>
      </c>
      <c r="M18" s="80" t="str">
        <f t="shared" si="1"/>
        <v/>
      </c>
      <c r="N18" s="80" t="str">
        <f t="shared" si="1"/>
        <v/>
      </c>
      <c r="O18" s="80" t="str">
        <f t="shared" si="1"/>
        <v/>
      </c>
      <c r="P18" s="80" t="str">
        <f t="shared" si="2"/>
        <v/>
      </c>
      <c r="Q18" s="80" t="str">
        <f t="shared" si="2"/>
        <v/>
      </c>
      <c r="R18" s="80" t="str">
        <f t="shared" si="2"/>
        <v/>
      </c>
      <c r="S18" s="80" t="str">
        <f t="shared" si="2"/>
        <v/>
      </c>
      <c r="T18" s="80" t="str">
        <f t="shared" si="2"/>
        <v/>
      </c>
      <c r="U18" s="80" t="str">
        <f t="shared" si="2"/>
        <v/>
      </c>
      <c r="V18" s="80" t="str">
        <f t="shared" si="2"/>
        <v/>
      </c>
      <c r="W18" s="80" t="str">
        <f t="shared" si="2"/>
        <v/>
      </c>
      <c r="X18" s="80" t="str">
        <f t="shared" si="2"/>
        <v/>
      </c>
      <c r="Y18" s="80" t="str">
        <f t="shared" si="2"/>
        <v/>
      </c>
      <c r="Z18" s="80" t="str">
        <f t="shared" si="2"/>
        <v/>
      </c>
      <c r="AA18" s="80" t="str">
        <f t="shared" si="2"/>
        <v/>
      </c>
      <c r="AB18" s="80" t="str">
        <f t="shared" si="2"/>
        <v/>
      </c>
      <c r="AC18" s="87" t="str">
        <f t="shared" si="2"/>
        <v/>
      </c>
    </row>
    <row r="19" spans="1:29" x14ac:dyDescent="0.35">
      <c r="A19"/>
      <c r="B19" s="95"/>
      <c r="D19" s="96"/>
      <c r="F19" s="86" t="str">
        <f t="shared" si="1"/>
        <v/>
      </c>
      <c r="G19" s="80" t="str">
        <f t="shared" si="1"/>
        <v/>
      </c>
      <c r="H19" s="80" t="str">
        <f t="shared" si="1"/>
        <v/>
      </c>
      <c r="I19" s="80" t="str">
        <f t="shared" si="1"/>
        <v/>
      </c>
      <c r="J19" s="80" t="str">
        <f t="shared" si="1"/>
        <v/>
      </c>
      <c r="K19" s="80" t="str">
        <f t="shared" si="1"/>
        <v/>
      </c>
      <c r="L19" s="80" t="str">
        <f t="shared" si="1"/>
        <v/>
      </c>
      <c r="M19" s="80" t="str">
        <f t="shared" si="1"/>
        <v/>
      </c>
      <c r="N19" s="80" t="str">
        <f t="shared" si="1"/>
        <v/>
      </c>
      <c r="O19" s="80" t="str">
        <f t="shared" si="1"/>
        <v/>
      </c>
      <c r="P19" s="80" t="str">
        <f t="shared" si="2"/>
        <v/>
      </c>
      <c r="Q19" s="80" t="str">
        <f t="shared" si="2"/>
        <v/>
      </c>
      <c r="R19" s="80" t="str">
        <f t="shared" si="2"/>
        <v/>
      </c>
      <c r="S19" s="80" t="str">
        <f t="shared" si="2"/>
        <v/>
      </c>
      <c r="T19" s="80" t="str">
        <f t="shared" si="2"/>
        <v/>
      </c>
      <c r="U19" s="80" t="str">
        <f t="shared" si="2"/>
        <v/>
      </c>
      <c r="V19" s="80" t="str">
        <f t="shared" si="2"/>
        <v/>
      </c>
      <c r="W19" s="80" t="str">
        <f t="shared" si="2"/>
        <v/>
      </c>
      <c r="X19" s="80" t="str">
        <f t="shared" si="2"/>
        <v/>
      </c>
      <c r="Y19" s="80" t="str">
        <f t="shared" si="2"/>
        <v/>
      </c>
      <c r="Z19" s="80" t="str">
        <f t="shared" si="2"/>
        <v/>
      </c>
      <c r="AA19" s="80" t="str">
        <f t="shared" si="2"/>
        <v/>
      </c>
      <c r="AB19" s="80" t="str">
        <f t="shared" si="2"/>
        <v/>
      </c>
      <c r="AC19" s="87" t="str">
        <f t="shared" si="2"/>
        <v/>
      </c>
    </row>
    <row r="20" spans="1:29" x14ac:dyDescent="0.35">
      <c r="A20"/>
      <c r="B20" s="95"/>
      <c r="D20" s="96"/>
      <c r="F20" s="86" t="str">
        <f t="shared" si="1"/>
        <v/>
      </c>
      <c r="G20" s="80" t="str">
        <f t="shared" si="1"/>
        <v/>
      </c>
      <c r="H20" s="80" t="str">
        <f t="shared" si="1"/>
        <v/>
      </c>
      <c r="I20" s="80" t="str">
        <f t="shared" si="1"/>
        <v/>
      </c>
      <c r="J20" s="80" t="str">
        <f t="shared" si="1"/>
        <v/>
      </c>
      <c r="K20" s="80" t="str">
        <f t="shared" si="1"/>
        <v/>
      </c>
      <c r="L20" s="80" t="str">
        <f t="shared" si="1"/>
        <v/>
      </c>
      <c r="M20" s="80" t="str">
        <f t="shared" si="1"/>
        <v/>
      </c>
      <c r="N20" s="80" t="str">
        <f t="shared" si="1"/>
        <v/>
      </c>
      <c r="O20" s="80" t="str">
        <f t="shared" si="1"/>
        <v/>
      </c>
      <c r="P20" s="80" t="str">
        <f t="shared" si="2"/>
        <v/>
      </c>
      <c r="Q20" s="80" t="str">
        <f t="shared" si="2"/>
        <v/>
      </c>
      <c r="R20" s="80" t="str">
        <f t="shared" si="2"/>
        <v/>
      </c>
      <c r="S20" s="80" t="str">
        <f t="shared" si="2"/>
        <v/>
      </c>
      <c r="T20" s="80" t="str">
        <f t="shared" si="2"/>
        <v/>
      </c>
      <c r="U20" s="80" t="str">
        <f t="shared" si="2"/>
        <v/>
      </c>
      <c r="V20" s="80" t="str">
        <f t="shared" si="2"/>
        <v/>
      </c>
      <c r="W20" s="80" t="str">
        <f t="shared" si="2"/>
        <v/>
      </c>
      <c r="X20" s="80" t="str">
        <f t="shared" si="2"/>
        <v/>
      </c>
      <c r="Y20" s="80" t="str">
        <f t="shared" si="2"/>
        <v/>
      </c>
      <c r="Z20" s="80" t="str">
        <f t="shared" si="2"/>
        <v/>
      </c>
      <c r="AA20" s="80" t="str">
        <f t="shared" si="2"/>
        <v/>
      </c>
      <c r="AB20" s="80" t="str">
        <f t="shared" si="2"/>
        <v/>
      </c>
      <c r="AC20" s="87" t="str">
        <f t="shared" si="2"/>
        <v/>
      </c>
    </row>
    <row r="21" spans="1:29" x14ac:dyDescent="0.35">
      <c r="A21"/>
      <c r="B21" s="95"/>
      <c r="D21" s="96"/>
      <c r="F21" s="86" t="str">
        <f t="shared" si="1"/>
        <v/>
      </c>
      <c r="G21" s="80" t="str">
        <f t="shared" si="1"/>
        <v/>
      </c>
      <c r="H21" s="80" t="str">
        <f t="shared" si="1"/>
        <v/>
      </c>
      <c r="I21" s="80" t="str">
        <f t="shared" si="1"/>
        <v/>
      </c>
      <c r="J21" s="80" t="str">
        <f t="shared" si="1"/>
        <v/>
      </c>
      <c r="K21" s="80" t="str">
        <f t="shared" si="1"/>
        <v/>
      </c>
      <c r="L21" s="80" t="str">
        <f t="shared" si="1"/>
        <v/>
      </c>
      <c r="M21" s="80" t="str">
        <f t="shared" si="1"/>
        <v/>
      </c>
      <c r="N21" s="80" t="str">
        <f t="shared" si="1"/>
        <v/>
      </c>
      <c r="O21" s="80" t="str">
        <f t="shared" si="1"/>
        <v/>
      </c>
      <c r="P21" s="80" t="str">
        <f t="shared" si="2"/>
        <v/>
      </c>
      <c r="Q21" s="80" t="str">
        <f t="shared" si="2"/>
        <v/>
      </c>
      <c r="R21" s="80" t="str">
        <f t="shared" si="2"/>
        <v/>
      </c>
      <c r="S21" s="80" t="str">
        <f t="shared" si="2"/>
        <v/>
      </c>
      <c r="T21" s="80" t="str">
        <f t="shared" si="2"/>
        <v/>
      </c>
      <c r="U21" s="80" t="str">
        <f t="shared" si="2"/>
        <v/>
      </c>
      <c r="V21" s="80" t="str">
        <f t="shared" si="2"/>
        <v/>
      </c>
      <c r="W21" s="80" t="str">
        <f t="shared" si="2"/>
        <v/>
      </c>
      <c r="X21" s="80" t="str">
        <f t="shared" si="2"/>
        <v/>
      </c>
      <c r="Y21" s="80" t="str">
        <f t="shared" si="2"/>
        <v/>
      </c>
      <c r="Z21" s="80" t="str">
        <f t="shared" si="2"/>
        <v/>
      </c>
      <c r="AA21" s="80" t="str">
        <f t="shared" si="2"/>
        <v/>
      </c>
      <c r="AB21" s="80" t="str">
        <f t="shared" si="2"/>
        <v/>
      </c>
      <c r="AC21" s="87" t="str">
        <f t="shared" si="2"/>
        <v/>
      </c>
    </row>
    <row r="22" spans="1:29" x14ac:dyDescent="0.35">
      <c r="A22"/>
      <c r="B22" s="95"/>
      <c r="D22" s="96"/>
      <c r="F22" s="86" t="str">
        <f t="shared" si="1"/>
        <v/>
      </c>
      <c r="G22" s="80" t="str">
        <f t="shared" si="1"/>
        <v/>
      </c>
      <c r="H22" s="80" t="str">
        <f t="shared" si="1"/>
        <v/>
      </c>
      <c r="I22" s="80" t="str">
        <f t="shared" si="1"/>
        <v/>
      </c>
      <c r="J22" s="80" t="str">
        <f t="shared" si="1"/>
        <v/>
      </c>
      <c r="K22" s="80" t="str">
        <f t="shared" si="1"/>
        <v/>
      </c>
      <c r="L22" s="80" t="str">
        <f t="shared" si="1"/>
        <v/>
      </c>
      <c r="M22" s="80" t="str">
        <f t="shared" si="1"/>
        <v/>
      </c>
      <c r="N22" s="80" t="str">
        <f t="shared" si="1"/>
        <v/>
      </c>
      <c r="O22" s="80" t="str">
        <f t="shared" si="1"/>
        <v/>
      </c>
      <c r="P22" s="80" t="str">
        <f t="shared" si="2"/>
        <v/>
      </c>
      <c r="Q22" s="80" t="str">
        <f t="shared" si="2"/>
        <v/>
      </c>
      <c r="R22" s="80" t="str">
        <f t="shared" si="2"/>
        <v/>
      </c>
      <c r="S22" s="80" t="str">
        <f t="shared" si="2"/>
        <v/>
      </c>
      <c r="T22" s="80" t="str">
        <f t="shared" si="2"/>
        <v/>
      </c>
      <c r="U22" s="80" t="str">
        <f t="shared" si="2"/>
        <v/>
      </c>
      <c r="V22" s="80" t="str">
        <f t="shared" si="2"/>
        <v/>
      </c>
      <c r="W22" s="80" t="str">
        <f t="shared" si="2"/>
        <v/>
      </c>
      <c r="X22" s="80" t="str">
        <f t="shared" si="2"/>
        <v/>
      </c>
      <c r="Y22" s="80" t="str">
        <f t="shared" si="2"/>
        <v/>
      </c>
      <c r="Z22" s="80" t="str">
        <f t="shared" si="2"/>
        <v/>
      </c>
      <c r="AA22" s="80" t="str">
        <f t="shared" si="2"/>
        <v/>
      </c>
      <c r="AB22" s="80" t="str">
        <f t="shared" si="2"/>
        <v/>
      </c>
      <c r="AC22" s="87" t="str">
        <f t="shared" si="2"/>
        <v/>
      </c>
    </row>
    <row r="23" spans="1:29" x14ac:dyDescent="0.35">
      <c r="A23"/>
      <c r="B23" s="95"/>
      <c r="D23" s="96"/>
      <c r="F23" s="86" t="str">
        <f t="shared" ref="F23:U47" si="3">IF(AND(F$6&gt;=$C23, F$6&lt;=$D23),"1","")</f>
        <v/>
      </c>
      <c r="G23" s="80" t="str">
        <f t="shared" si="3"/>
        <v/>
      </c>
      <c r="H23" s="80" t="str">
        <f t="shared" si="3"/>
        <v/>
      </c>
      <c r="I23" s="80" t="str">
        <f t="shared" si="3"/>
        <v/>
      </c>
      <c r="J23" s="80" t="str">
        <f t="shared" si="3"/>
        <v/>
      </c>
      <c r="K23" s="80" t="str">
        <f t="shared" si="3"/>
        <v/>
      </c>
      <c r="L23" s="80" t="str">
        <f t="shared" si="3"/>
        <v/>
      </c>
      <c r="M23" s="80" t="str">
        <f t="shared" si="3"/>
        <v/>
      </c>
      <c r="N23" s="80" t="str">
        <f t="shared" si="3"/>
        <v/>
      </c>
      <c r="O23" s="80" t="str">
        <f t="shared" si="3"/>
        <v/>
      </c>
      <c r="P23" s="80" t="str">
        <f t="shared" si="3"/>
        <v/>
      </c>
      <c r="Q23" s="80" t="str">
        <f t="shared" si="3"/>
        <v/>
      </c>
      <c r="R23" s="80" t="str">
        <f t="shared" si="3"/>
        <v/>
      </c>
      <c r="S23" s="80" t="str">
        <f t="shared" si="3"/>
        <v/>
      </c>
      <c r="T23" s="80" t="str">
        <f t="shared" si="3"/>
        <v/>
      </c>
      <c r="U23" s="80" t="str">
        <f t="shared" si="3"/>
        <v/>
      </c>
      <c r="V23" s="80" t="str">
        <f t="shared" ref="P23:AC41" si="4">IF(AND(V$6&gt;=$C23, V$6&lt;=$D23),"1","")</f>
        <v/>
      </c>
      <c r="W23" s="80" t="str">
        <f t="shared" si="4"/>
        <v/>
      </c>
      <c r="X23" s="80" t="str">
        <f t="shared" si="4"/>
        <v/>
      </c>
      <c r="Y23" s="80" t="str">
        <f t="shared" si="4"/>
        <v/>
      </c>
      <c r="Z23" s="80" t="str">
        <f t="shared" si="4"/>
        <v/>
      </c>
      <c r="AA23" s="80" t="str">
        <f t="shared" si="4"/>
        <v/>
      </c>
      <c r="AB23" s="80" t="str">
        <f t="shared" si="4"/>
        <v/>
      </c>
      <c r="AC23" s="87" t="str">
        <f t="shared" si="4"/>
        <v/>
      </c>
    </row>
    <row r="24" spans="1:29" x14ac:dyDescent="0.35">
      <c r="A24"/>
      <c r="B24" s="95"/>
      <c r="D24" s="96"/>
      <c r="F24" s="86" t="str">
        <f t="shared" si="3"/>
        <v/>
      </c>
      <c r="G24" s="80" t="str">
        <f t="shared" si="3"/>
        <v/>
      </c>
      <c r="H24" s="80" t="str">
        <f t="shared" si="3"/>
        <v/>
      </c>
      <c r="I24" s="80" t="str">
        <f t="shared" si="3"/>
        <v/>
      </c>
      <c r="J24" s="80" t="str">
        <f t="shared" si="3"/>
        <v/>
      </c>
      <c r="K24" s="80" t="str">
        <f t="shared" si="3"/>
        <v/>
      </c>
      <c r="L24" s="80" t="str">
        <f t="shared" si="3"/>
        <v/>
      </c>
      <c r="M24" s="80" t="str">
        <f t="shared" si="3"/>
        <v/>
      </c>
      <c r="N24" s="80" t="str">
        <f t="shared" si="3"/>
        <v/>
      </c>
      <c r="O24" s="80" t="str">
        <f t="shared" si="3"/>
        <v/>
      </c>
      <c r="P24" s="80" t="str">
        <f t="shared" si="4"/>
        <v/>
      </c>
      <c r="Q24" s="80" t="str">
        <f t="shared" si="4"/>
        <v/>
      </c>
      <c r="R24" s="80" t="str">
        <f t="shared" si="4"/>
        <v/>
      </c>
      <c r="S24" s="80" t="str">
        <f t="shared" si="4"/>
        <v/>
      </c>
      <c r="T24" s="80" t="str">
        <f t="shared" si="4"/>
        <v/>
      </c>
      <c r="U24" s="80" t="str">
        <f t="shared" si="4"/>
        <v/>
      </c>
      <c r="V24" s="80" t="str">
        <f t="shared" si="4"/>
        <v/>
      </c>
      <c r="W24" s="80" t="str">
        <f t="shared" si="4"/>
        <v/>
      </c>
      <c r="X24" s="80" t="str">
        <f t="shared" si="4"/>
        <v/>
      </c>
      <c r="Y24" s="80" t="str">
        <f t="shared" si="4"/>
        <v/>
      </c>
      <c r="Z24" s="80" t="str">
        <f t="shared" si="4"/>
        <v/>
      </c>
      <c r="AA24" s="80" t="str">
        <f t="shared" si="4"/>
        <v/>
      </c>
      <c r="AB24" s="80" t="str">
        <f t="shared" si="4"/>
        <v/>
      </c>
      <c r="AC24" s="87" t="str">
        <f t="shared" si="4"/>
        <v/>
      </c>
    </row>
    <row r="25" spans="1:29" x14ac:dyDescent="0.35">
      <c r="A25"/>
      <c r="B25" s="95"/>
      <c r="D25" s="96"/>
      <c r="F25" s="86" t="str">
        <f t="shared" si="3"/>
        <v/>
      </c>
      <c r="G25" s="80" t="str">
        <f t="shared" si="3"/>
        <v/>
      </c>
      <c r="H25" s="80" t="str">
        <f t="shared" si="3"/>
        <v/>
      </c>
      <c r="I25" s="80" t="str">
        <f t="shared" si="3"/>
        <v/>
      </c>
      <c r="J25" s="80" t="str">
        <f t="shared" si="3"/>
        <v/>
      </c>
      <c r="K25" s="80" t="str">
        <f t="shared" si="3"/>
        <v/>
      </c>
      <c r="L25" s="80" t="str">
        <f t="shared" si="3"/>
        <v/>
      </c>
      <c r="M25" s="80" t="str">
        <f t="shared" si="3"/>
        <v/>
      </c>
      <c r="N25" s="80" t="str">
        <f t="shared" si="3"/>
        <v/>
      </c>
      <c r="O25" s="80" t="str">
        <f t="shared" si="3"/>
        <v/>
      </c>
      <c r="P25" s="80" t="str">
        <f t="shared" si="4"/>
        <v/>
      </c>
      <c r="Q25" s="80" t="str">
        <f t="shared" si="4"/>
        <v/>
      </c>
      <c r="R25" s="80" t="str">
        <f t="shared" si="4"/>
        <v/>
      </c>
      <c r="S25" s="80" t="str">
        <f t="shared" si="4"/>
        <v/>
      </c>
      <c r="T25" s="80" t="str">
        <f t="shared" si="4"/>
        <v/>
      </c>
      <c r="U25" s="80" t="str">
        <f t="shared" si="4"/>
        <v/>
      </c>
      <c r="V25" s="80" t="str">
        <f t="shared" si="4"/>
        <v/>
      </c>
      <c r="W25" s="80" t="str">
        <f t="shared" si="4"/>
        <v/>
      </c>
      <c r="X25" s="80" t="str">
        <f t="shared" si="4"/>
        <v/>
      </c>
      <c r="Y25" s="80" t="str">
        <f t="shared" si="4"/>
        <v/>
      </c>
      <c r="Z25" s="80" t="str">
        <f t="shared" si="4"/>
        <v/>
      </c>
      <c r="AA25" s="80" t="str">
        <f t="shared" si="4"/>
        <v/>
      </c>
      <c r="AB25" s="80" t="str">
        <f t="shared" si="4"/>
        <v/>
      </c>
      <c r="AC25" s="87" t="str">
        <f t="shared" si="4"/>
        <v/>
      </c>
    </row>
    <row r="26" spans="1:29" x14ac:dyDescent="0.35">
      <c r="A26"/>
      <c r="B26" s="95"/>
      <c r="D26" s="96"/>
      <c r="F26" s="86" t="str">
        <f t="shared" si="3"/>
        <v/>
      </c>
      <c r="G26" s="80" t="str">
        <f t="shared" si="3"/>
        <v/>
      </c>
      <c r="H26" s="80" t="str">
        <f t="shared" si="3"/>
        <v/>
      </c>
      <c r="I26" s="80" t="str">
        <f t="shared" si="3"/>
        <v/>
      </c>
      <c r="J26" s="80" t="str">
        <f t="shared" si="3"/>
        <v/>
      </c>
      <c r="K26" s="80" t="str">
        <f t="shared" si="3"/>
        <v/>
      </c>
      <c r="L26" s="80" t="str">
        <f t="shared" si="3"/>
        <v/>
      </c>
      <c r="M26" s="80" t="str">
        <f t="shared" si="3"/>
        <v/>
      </c>
      <c r="N26" s="80" t="str">
        <f t="shared" si="3"/>
        <v/>
      </c>
      <c r="O26" s="80" t="str">
        <f t="shared" si="3"/>
        <v/>
      </c>
      <c r="P26" s="80" t="str">
        <f t="shared" si="4"/>
        <v/>
      </c>
      <c r="Q26" s="80" t="str">
        <f t="shared" si="4"/>
        <v/>
      </c>
      <c r="R26" s="80" t="str">
        <f t="shared" si="4"/>
        <v/>
      </c>
      <c r="S26" s="80" t="str">
        <f t="shared" si="4"/>
        <v/>
      </c>
      <c r="T26" s="80" t="str">
        <f t="shared" si="4"/>
        <v/>
      </c>
      <c r="U26" s="80" t="str">
        <f t="shared" si="4"/>
        <v/>
      </c>
      <c r="V26" s="80" t="str">
        <f t="shared" si="4"/>
        <v/>
      </c>
      <c r="W26" s="80" t="str">
        <f t="shared" si="4"/>
        <v/>
      </c>
      <c r="X26" s="80" t="str">
        <f t="shared" si="4"/>
        <v/>
      </c>
      <c r="Y26" s="80" t="str">
        <f t="shared" si="4"/>
        <v/>
      </c>
      <c r="Z26" s="80" t="str">
        <f t="shared" si="4"/>
        <v/>
      </c>
      <c r="AA26" s="80" t="str">
        <f t="shared" si="4"/>
        <v/>
      </c>
      <c r="AB26" s="80" t="str">
        <f t="shared" si="4"/>
        <v/>
      </c>
      <c r="AC26" s="87" t="str">
        <f t="shared" si="4"/>
        <v/>
      </c>
    </row>
    <row r="27" spans="1:29" x14ac:dyDescent="0.35">
      <c r="A27"/>
      <c r="B27" s="95"/>
      <c r="D27" s="96"/>
      <c r="F27" s="86" t="str">
        <f t="shared" si="3"/>
        <v/>
      </c>
      <c r="G27" s="80" t="str">
        <f t="shared" si="3"/>
        <v/>
      </c>
      <c r="H27" s="80" t="str">
        <f t="shared" si="3"/>
        <v/>
      </c>
      <c r="I27" s="80" t="str">
        <f t="shared" si="3"/>
        <v/>
      </c>
      <c r="J27" s="80" t="str">
        <f t="shared" si="3"/>
        <v/>
      </c>
      <c r="K27" s="80" t="str">
        <f t="shared" si="3"/>
        <v/>
      </c>
      <c r="L27" s="80" t="str">
        <f t="shared" si="3"/>
        <v/>
      </c>
      <c r="M27" s="80" t="str">
        <f t="shared" si="3"/>
        <v/>
      </c>
      <c r="N27" s="80" t="str">
        <f t="shared" si="3"/>
        <v/>
      </c>
      <c r="O27" s="80" t="str">
        <f t="shared" si="3"/>
        <v/>
      </c>
      <c r="P27" s="80" t="str">
        <f t="shared" si="4"/>
        <v/>
      </c>
      <c r="Q27" s="80" t="str">
        <f t="shared" si="4"/>
        <v/>
      </c>
      <c r="R27" s="80" t="str">
        <f t="shared" si="4"/>
        <v/>
      </c>
      <c r="S27" s="80" t="str">
        <f t="shared" si="4"/>
        <v/>
      </c>
      <c r="T27" s="80" t="str">
        <f t="shared" si="4"/>
        <v/>
      </c>
      <c r="U27" s="80" t="str">
        <f t="shared" si="4"/>
        <v/>
      </c>
      <c r="V27" s="80" t="str">
        <f t="shared" si="4"/>
        <v/>
      </c>
      <c r="W27" s="80" t="str">
        <f t="shared" si="4"/>
        <v/>
      </c>
      <c r="X27" s="80" t="str">
        <f t="shared" si="4"/>
        <v/>
      </c>
      <c r="Y27" s="80" t="str">
        <f t="shared" si="4"/>
        <v/>
      </c>
      <c r="Z27" s="80" t="str">
        <f t="shared" si="4"/>
        <v/>
      </c>
      <c r="AA27" s="80" t="str">
        <f t="shared" si="4"/>
        <v/>
      </c>
      <c r="AB27" s="80" t="str">
        <f t="shared" si="4"/>
        <v/>
      </c>
      <c r="AC27" s="87" t="str">
        <f t="shared" si="4"/>
        <v/>
      </c>
    </row>
    <row r="28" spans="1:29" x14ac:dyDescent="0.35">
      <c r="A28"/>
      <c r="B28" s="95"/>
      <c r="D28" s="96"/>
      <c r="F28" s="86" t="str">
        <f t="shared" si="3"/>
        <v/>
      </c>
      <c r="G28" s="80" t="str">
        <f t="shared" si="3"/>
        <v/>
      </c>
      <c r="H28" s="80" t="str">
        <f t="shared" si="3"/>
        <v/>
      </c>
      <c r="I28" s="80" t="str">
        <f t="shared" si="3"/>
        <v/>
      </c>
      <c r="J28" s="80" t="str">
        <f t="shared" si="3"/>
        <v/>
      </c>
      <c r="K28" s="80" t="str">
        <f t="shared" si="3"/>
        <v/>
      </c>
      <c r="L28" s="80" t="str">
        <f t="shared" si="3"/>
        <v/>
      </c>
      <c r="M28" s="80" t="str">
        <f t="shared" si="3"/>
        <v/>
      </c>
      <c r="N28" s="80" t="str">
        <f t="shared" si="3"/>
        <v/>
      </c>
      <c r="O28" s="80" t="str">
        <f t="shared" si="3"/>
        <v/>
      </c>
      <c r="P28" s="80" t="str">
        <f t="shared" si="4"/>
        <v/>
      </c>
      <c r="Q28" s="80" t="str">
        <f t="shared" si="4"/>
        <v/>
      </c>
      <c r="R28" s="80" t="str">
        <f t="shared" si="4"/>
        <v/>
      </c>
      <c r="S28" s="80" t="str">
        <f t="shared" si="4"/>
        <v/>
      </c>
      <c r="T28" s="80" t="str">
        <f t="shared" si="4"/>
        <v/>
      </c>
      <c r="U28" s="80" t="str">
        <f t="shared" si="4"/>
        <v/>
      </c>
      <c r="V28" s="80" t="str">
        <f t="shared" si="4"/>
        <v/>
      </c>
      <c r="W28" s="80" t="str">
        <f t="shared" si="4"/>
        <v/>
      </c>
      <c r="X28" s="80" t="str">
        <f t="shared" si="4"/>
        <v/>
      </c>
      <c r="Y28" s="80" t="str">
        <f t="shared" si="4"/>
        <v/>
      </c>
      <c r="Z28" s="80" t="str">
        <f t="shared" si="4"/>
        <v/>
      </c>
      <c r="AA28" s="80" t="str">
        <f t="shared" si="4"/>
        <v/>
      </c>
      <c r="AB28" s="80" t="str">
        <f t="shared" si="4"/>
        <v/>
      </c>
      <c r="AC28" s="87" t="str">
        <f t="shared" si="4"/>
        <v/>
      </c>
    </row>
    <row r="29" spans="1:29" x14ac:dyDescent="0.35">
      <c r="A29"/>
      <c r="B29" s="95"/>
      <c r="D29" s="96"/>
      <c r="F29" s="86" t="str">
        <f t="shared" si="3"/>
        <v/>
      </c>
      <c r="G29" s="80" t="str">
        <f t="shared" si="3"/>
        <v/>
      </c>
      <c r="H29" s="80" t="str">
        <f t="shared" si="3"/>
        <v/>
      </c>
      <c r="I29" s="80" t="str">
        <f t="shared" si="3"/>
        <v/>
      </c>
      <c r="J29" s="80" t="str">
        <f t="shared" si="3"/>
        <v/>
      </c>
      <c r="K29" s="80" t="str">
        <f t="shared" si="3"/>
        <v/>
      </c>
      <c r="L29" s="80" t="str">
        <f t="shared" si="3"/>
        <v/>
      </c>
      <c r="M29" s="80" t="str">
        <f t="shared" si="3"/>
        <v/>
      </c>
      <c r="N29" s="80" t="str">
        <f t="shared" si="3"/>
        <v/>
      </c>
      <c r="O29" s="80" t="str">
        <f t="shared" si="3"/>
        <v/>
      </c>
      <c r="P29" s="80" t="str">
        <f t="shared" si="4"/>
        <v/>
      </c>
      <c r="Q29" s="80" t="str">
        <f t="shared" si="4"/>
        <v/>
      </c>
      <c r="R29" s="80" t="str">
        <f t="shared" si="4"/>
        <v/>
      </c>
      <c r="S29" s="80" t="str">
        <f t="shared" si="4"/>
        <v/>
      </c>
      <c r="T29" s="80" t="str">
        <f t="shared" si="4"/>
        <v/>
      </c>
      <c r="U29" s="80" t="str">
        <f t="shared" si="4"/>
        <v/>
      </c>
      <c r="V29" s="80" t="str">
        <f t="shared" si="4"/>
        <v/>
      </c>
      <c r="W29" s="80" t="str">
        <f t="shared" si="4"/>
        <v/>
      </c>
      <c r="X29" s="80" t="str">
        <f t="shared" si="4"/>
        <v/>
      </c>
      <c r="Y29" s="80" t="str">
        <f t="shared" si="4"/>
        <v/>
      </c>
      <c r="Z29" s="80" t="str">
        <f t="shared" si="4"/>
        <v/>
      </c>
      <c r="AA29" s="80" t="str">
        <f t="shared" si="4"/>
        <v/>
      </c>
      <c r="AB29" s="80" t="str">
        <f t="shared" si="4"/>
        <v/>
      </c>
      <c r="AC29" s="87" t="str">
        <f t="shared" si="4"/>
        <v/>
      </c>
    </row>
    <row r="30" spans="1:29" x14ac:dyDescent="0.35">
      <c r="A30"/>
      <c r="B30" s="95"/>
      <c r="D30" s="96"/>
      <c r="F30" s="86" t="str">
        <f t="shared" si="3"/>
        <v/>
      </c>
      <c r="G30" s="80" t="str">
        <f t="shared" si="3"/>
        <v/>
      </c>
      <c r="H30" s="80" t="str">
        <f t="shared" si="3"/>
        <v/>
      </c>
      <c r="I30" s="80" t="str">
        <f t="shared" si="3"/>
        <v/>
      </c>
      <c r="J30" s="80" t="str">
        <f t="shared" si="3"/>
        <v/>
      </c>
      <c r="K30" s="80" t="str">
        <f t="shared" si="3"/>
        <v/>
      </c>
      <c r="L30" s="80" t="str">
        <f t="shared" si="3"/>
        <v/>
      </c>
      <c r="M30" s="80" t="str">
        <f t="shared" si="3"/>
        <v/>
      </c>
      <c r="N30" s="80" t="str">
        <f t="shared" si="3"/>
        <v/>
      </c>
      <c r="O30" s="80" t="str">
        <f t="shared" si="3"/>
        <v/>
      </c>
      <c r="P30" s="80" t="str">
        <f t="shared" si="4"/>
        <v/>
      </c>
      <c r="Q30" s="80" t="str">
        <f t="shared" si="4"/>
        <v/>
      </c>
      <c r="R30" s="80" t="str">
        <f t="shared" si="4"/>
        <v/>
      </c>
      <c r="S30" s="80" t="str">
        <f t="shared" si="4"/>
        <v/>
      </c>
      <c r="T30" s="80" t="str">
        <f t="shared" si="4"/>
        <v/>
      </c>
      <c r="U30" s="80" t="str">
        <f t="shared" si="4"/>
        <v/>
      </c>
      <c r="V30" s="80" t="str">
        <f t="shared" si="4"/>
        <v/>
      </c>
      <c r="W30" s="80" t="str">
        <f t="shared" si="4"/>
        <v/>
      </c>
      <c r="X30" s="80" t="str">
        <f t="shared" si="4"/>
        <v/>
      </c>
      <c r="Y30" s="80" t="str">
        <f t="shared" si="4"/>
        <v/>
      </c>
      <c r="Z30" s="80" t="str">
        <f t="shared" si="4"/>
        <v/>
      </c>
      <c r="AA30" s="80" t="str">
        <f t="shared" si="4"/>
        <v/>
      </c>
      <c r="AB30" s="80" t="str">
        <f t="shared" si="4"/>
        <v/>
      </c>
      <c r="AC30" s="87" t="str">
        <f t="shared" si="4"/>
        <v/>
      </c>
    </row>
    <row r="31" spans="1:29" x14ac:dyDescent="0.35">
      <c r="A31"/>
      <c r="B31" s="95"/>
      <c r="D31" s="96"/>
      <c r="F31" s="86" t="str">
        <f t="shared" si="3"/>
        <v/>
      </c>
      <c r="G31" s="80" t="str">
        <f t="shared" si="3"/>
        <v/>
      </c>
      <c r="H31" s="80" t="str">
        <f t="shared" si="3"/>
        <v/>
      </c>
      <c r="I31" s="80" t="str">
        <f t="shared" si="3"/>
        <v/>
      </c>
      <c r="J31" s="80" t="str">
        <f t="shared" si="3"/>
        <v/>
      </c>
      <c r="K31" s="80" t="str">
        <f t="shared" si="3"/>
        <v/>
      </c>
      <c r="L31" s="80" t="str">
        <f t="shared" si="3"/>
        <v/>
      </c>
      <c r="M31" s="80" t="str">
        <f t="shared" si="3"/>
        <v/>
      </c>
      <c r="N31" s="80" t="str">
        <f t="shared" si="3"/>
        <v/>
      </c>
      <c r="O31" s="80" t="str">
        <f t="shared" si="3"/>
        <v/>
      </c>
      <c r="P31" s="80" t="str">
        <f t="shared" si="4"/>
        <v/>
      </c>
      <c r="Q31" s="80" t="str">
        <f t="shared" si="4"/>
        <v/>
      </c>
      <c r="R31" s="80" t="str">
        <f t="shared" si="4"/>
        <v/>
      </c>
      <c r="S31" s="80" t="str">
        <f t="shared" si="4"/>
        <v/>
      </c>
      <c r="T31" s="80" t="str">
        <f t="shared" si="4"/>
        <v/>
      </c>
      <c r="U31" s="80" t="str">
        <f t="shared" si="4"/>
        <v/>
      </c>
      <c r="V31" s="80" t="str">
        <f t="shared" si="4"/>
        <v/>
      </c>
      <c r="W31" s="80" t="str">
        <f t="shared" si="4"/>
        <v/>
      </c>
      <c r="X31" s="80" t="str">
        <f t="shared" si="4"/>
        <v/>
      </c>
      <c r="Y31" s="80" t="str">
        <f t="shared" si="4"/>
        <v/>
      </c>
      <c r="Z31" s="80" t="str">
        <f t="shared" si="4"/>
        <v/>
      </c>
      <c r="AA31" s="80" t="str">
        <f t="shared" si="4"/>
        <v/>
      </c>
      <c r="AB31" s="80" t="str">
        <f t="shared" si="4"/>
        <v/>
      </c>
      <c r="AC31" s="87" t="str">
        <f t="shared" si="4"/>
        <v/>
      </c>
    </row>
    <row r="32" spans="1:29" x14ac:dyDescent="0.35">
      <c r="A32"/>
      <c r="B32" s="95"/>
      <c r="D32" s="96"/>
      <c r="F32" s="86" t="str">
        <f t="shared" si="3"/>
        <v/>
      </c>
      <c r="G32" s="80" t="str">
        <f t="shared" si="3"/>
        <v/>
      </c>
      <c r="H32" s="80" t="str">
        <f t="shared" si="3"/>
        <v/>
      </c>
      <c r="I32" s="80" t="str">
        <f t="shared" si="3"/>
        <v/>
      </c>
      <c r="J32" s="80" t="str">
        <f t="shared" si="3"/>
        <v/>
      </c>
      <c r="K32" s="80" t="str">
        <f t="shared" si="3"/>
        <v/>
      </c>
      <c r="L32" s="80" t="str">
        <f t="shared" si="3"/>
        <v/>
      </c>
      <c r="M32" s="80" t="str">
        <f t="shared" si="3"/>
        <v/>
      </c>
      <c r="N32" s="80" t="str">
        <f t="shared" si="3"/>
        <v/>
      </c>
      <c r="O32" s="80" t="str">
        <f t="shared" si="3"/>
        <v/>
      </c>
      <c r="P32" s="80" t="str">
        <f t="shared" si="4"/>
        <v/>
      </c>
      <c r="Q32" s="80" t="str">
        <f t="shared" si="4"/>
        <v/>
      </c>
      <c r="R32" s="80" t="str">
        <f t="shared" si="4"/>
        <v/>
      </c>
      <c r="S32" s="80" t="str">
        <f t="shared" si="4"/>
        <v/>
      </c>
      <c r="T32" s="80" t="str">
        <f t="shared" si="4"/>
        <v/>
      </c>
      <c r="U32" s="80" t="str">
        <f t="shared" si="4"/>
        <v/>
      </c>
      <c r="V32" s="80" t="str">
        <f t="shared" si="4"/>
        <v/>
      </c>
      <c r="W32" s="80" t="str">
        <f t="shared" si="4"/>
        <v/>
      </c>
      <c r="X32" s="80" t="str">
        <f t="shared" si="4"/>
        <v/>
      </c>
      <c r="Y32" s="80" t="str">
        <f t="shared" si="4"/>
        <v/>
      </c>
      <c r="Z32" s="80" t="str">
        <f t="shared" si="4"/>
        <v/>
      </c>
      <c r="AA32" s="80" t="str">
        <f t="shared" si="4"/>
        <v/>
      </c>
      <c r="AB32" s="80" t="str">
        <f t="shared" si="4"/>
        <v/>
      </c>
      <c r="AC32" s="87" t="str">
        <f t="shared" si="4"/>
        <v/>
      </c>
    </row>
    <row r="33" spans="1:29" x14ac:dyDescent="0.35">
      <c r="A33"/>
      <c r="B33" s="95"/>
      <c r="D33" s="96"/>
      <c r="F33" s="86" t="str">
        <f t="shared" si="3"/>
        <v/>
      </c>
      <c r="G33" s="80" t="str">
        <f t="shared" si="3"/>
        <v/>
      </c>
      <c r="H33" s="80" t="str">
        <f t="shared" si="3"/>
        <v/>
      </c>
      <c r="I33" s="80" t="str">
        <f t="shared" si="3"/>
        <v/>
      </c>
      <c r="J33" s="80" t="str">
        <f t="shared" si="3"/>
        <v/>
      </c>
      <c r="K33" s="80" t="str">
        <f t="shared" si="3"/>
        <v/>
      </c>
      <c r="L33" s="80" t="str">
        <f t="shared" si="3"/>
        <v/>
      </c>
      <c r="M33" s="80" t="str">
        <f t="shared" si="3"/>
        <v/>
      </c>
      <c r="N33" s="80" t="str">
        <f t="shared" si="3"/>
        <v/>
      </c>
      <c r="O33" s="80" t="str">
        <f t="shared" si="3"/>
        <v/>
      </c>
      <c r="P33" s="80" t="str">
        <f t="shared" si="4"/>
        <v/>
      </c>
      <c r="Q33" s="80" t="str">
        <f t="shared" si="4"/>
        <v/>
      </c>
      <c r="R33" s="80" t="str">
        <f t="shared" si="4"/>
        <v/>
      </c>
      <c r="S33" s="80" t="str">
        <f t="shared" si="4"/>
        <v/>
      </c>
      <c r="T33" s="80" t="str">
        <f t="shared" si="4"/>
        <v/>
      </c>
      <c r="U33" s="80" t="str">
        <f t="shared" si="4"/>
        <v/>
      </c>
      <c r="V33" s="80" t="str">
        <f t="shared" si="4"/>
        <v/>
      </c>
      <c r="W33" s="80" t="str">
        <f t="shared" si="4"/>
        <v/>
      </c>
      <c r="X33" s="80" t="str">
        <f t="shared" si="4"/>
        <v/>
      </c>
      <c r="Y33" s="80" t="str">
        <f t="shared" si="4"/>
        <v/>
      </c>
      <c r="Z33" s="80" t="str">
        <f t="shared" si="4"/>
        <v/>
      </c>
      <c r="AA33" s="80" t="str">
        <f t="shared" si="4"/>
        <v/>
      </c>
      <c r="AB33" s="80" t="str">
        <f t="shared" si="4"/>
        <v/>
      </c>
      <c r="AC33" s="87" t="str">
        <f t="shared" si="4"/>
        <v/>
      </c>
    </row>
    <row r="34" spans="1:29" x14ac:dyDescent="0.35">
      <c r="A34"/>
      <c r="B34" s="95"/>
      <c r="D34" s="96"/>
      <c r="F34" s="86" t="str">
        <f t="shared" si="3"/>
        <v/>
      </c>
      <c r="G34" s="80" t="str">
        <f t="shared" si="3"/>
        <v/>
      </c>
      <c r="H34" s="80" t="str">
        <f t="shared" si="3"/>
        <v/>
      </c>
      <c r="I34" s="80" t="str">
        <f t="shared" si="3"/>
        <v/>
      </c>
      <c r="J34" s="80" t="str">
        <f t="shared" si="3"/>
        <v/>
      </c>
      <c r="K34" s="80" t="str">
        <f t="shared" si="3"/>
        <v/>
      </c>
      <c r="L34" s="80" t="str">
        <f t="shared" si="3"/>
        <v/>
      </c>
      <c r="M34" s="80" t="str">
        <f t="shared" si="3"/>
        <v/>
      </c>
      <c r="N34" s="80" t="str">
        <f t="shared" si="3"/>
        <v/>
      </c>
      <c r="O34" s="80" t="str">
        <f t="shared" si="3"/>
        <v/>
      </c>
      <c r="P34" s="80" t="str">
        <f t="shared" si="4"/>
        <v/>
      </c>
      <c r="Q34" s="80" t="str">
        <f t="shared" si="4"/>
        <v/>
      </c>
      <c r="R34" s="80" t="str">
        <f t="shared" si="4"/>
        <v/>
      </c>
      <c r="S34" s="80" t="str">
        <f t="shared" si="4"/>
        <v/>
      </c>
      <c r="T34" s="80" t="str">
        <f t="shared" si="4"/>
        <v/>
      </c>
      <c r="U34" s="80" t="str">
        <f t="shared" si="4"/>
        <v/>
      </c>
      <c r="V34" s="80" t="str">
        <f t="shared" si="4"/>
        <v/>
      </c>
      <c r="W34" s="80" t="str">
        <f t="shared" si="4"/>
        <v/>
      </c>
      <c r="X34" s="80" t="str">
        <f t="shared" si="4"/>
        <v/>
      </c>
      <c r="Y34" s="80" t="str">
        <f t="shared" si="4"/>
        <v/>
      </c>
      <c r="Z34" s="80" t="str">
        <f t="shared" si="4"/>
        <v/>
      </c>
      <c r="AA34" s="80" t="str">
        <f t="shared" si="4"/>
        <v/>
      </c>
      <c r="AB34" s="80" t="str">
        <f t="shared" si="4"/>
        <v/>
      </c>
      <c r="AC34" s="87" t="str">
        <f t="shared" si="4"/>
        <v/>
      </c>
    </row>
    <row r="35" spans="1:29" x14ac:dyDescent="0.35">
      <c r="A35"/>
      <c r="B35" s="95"/>
      <c r="D35" s="96"/>
      <c r="F35" s="86" t="str">
        <f t="shared" si="3"/>
        <v/>
      </c>
      <c r="G35" s="80" t="str">
        <f t="shared" si="3"/>
        <v/>
      </c>
      <c r="H35" s="80" t="str">
        <f t="shared" si="3"/>
        <v/>
      </c>
      <c r="I35" s="80" t="str">
        <f t="shared" si="3"/>
        <v/>
      </c>
      <c r="J35" s="80" t="str">
        <f t="shared" si="3"/>
        <v/>
      </c>
      <c r="K35" s="80" t="str">
        <f t="shared" si="3"/>
        <v/>
      </c>
      <c r="L35" s="80" t="str">
        <f t="shared" si="3"/>
        <v/>
      </c>
      <c r="M35" s="80" t="str">
        <f t="shared" si="3"/>
        <v/>
      </c>
      <c r="N35" s="80" t="str">
        <f t="shared" si="3"/>
        <v/>
      </c>
      <c r="O35" s="80" t="str">
        <f t="shared" si="3"/>
        <v/>
      </c>
      <c r="P35" s="80" t="str">
        <f t="shared" si="4"/>
        <v/>
      </c>
      <c r="Q35" s="80" t="str">
        <f t="shared" si="4"/>
        <v/>
      </c>
      <c r="R35" s="80" t="str">
        <f t="shared" si="4"/>
        <v/>
      </c>
      <c r="S35" s="80" t="str">
        <f t="shared" si="4"/>
        <v/>
      </c>
      <c r="T35" s="80" t="str">
        <f t="shared" si="4"/>
        <v/>
      </c>
      <c r="U35" s="80" t="str">
        <f t="shared" si="4"/>
        <v/>
      </c>
      <c r="V35" s="80" t="str">
        <f t="shared" si="4"/>
        <v/>
      </c>
      <c r="W35" s="80" t="str">
        <f t="shared" si="4"/>
        <v/>
      </c>
      <c r="X35" s="80" t="str">
        <f t="shared" si="4"/>
        <v/>
      </c>
      <c r="Y35" s="80" t="str">
        <f t="shared" si="4"/>
        <v/>
      </c>
      <c r="Z35" s="80" t="str">
        <f t="shared" si="4"/>
        <v/>
      </c>
      <c r="AA35" s="80" t="str">
        <f t="shared" si="4"/>
        <v/>
      </c>
      <c r="AB35" s="80" t="str">
        <f t="shared" si="4"/>
        <v/>
      </c>
      <c r="AC35" s="87" t="str">
        <f t="shared" si="4"/>
        <v/>
      </c>
    </row>
    <row r="36" spans="1:29" x14ac:dyDescent="0.35">
      <c r="A36"/>
      <c r="B36" s="95"/>
      <c r="D36" s="96"/>
      <c r="F36" s="86" t="str">
        <f t="shared" si="3"/>
        <v/>
      </c>
      <c r="G36" s="80" t="str">
        <f t="shared" si="3"/>
        <v/>
      </c>
      <c r="H36" s="80" t="str">
        <f t="shared" si="3"/>
        <v/>
      </c>
      <c r="I36" s="80" t="str">
        <f t="shared" si="3"/>
        <v/>
      </c>
      <c r="J36" s="80" t="str">
        <f t="shared" si="3"/>
        <v/>
      </c>
      <c r="K36" s="80" t="str">
        <f t="shared" si="3"/>
        <v/>
      </c>
      <c r="L36" s="80" t="str">
        <f t="shared" si="3"/>
        <v/>
      </c>
      <c r="M36" s="80" t="str">
        <f t="shared" si="3"/>
        <v/>
      </c>
      <c r="N36" s="80" t="str">
        <f t="shared" si="3"/>
        <v/>
      </c>
      <c r="O36" s="80" t="str">
        <f t="shared" si="3"/>
        <v/>
      </c>
      <c r="P36" s="80" t="str">
        <f t="shared" si="4"/>
        <v/>
      </c>
      <c r="Q36" s="80" t="str">
        <f t="shared" si="4"/>
        <v/>
      </c>
      <c r="R36" s="80" t="str">
        <f t="shared" si="4"/>
        <v/>
      </c>
      <c r="S36" s="80" t="str">
        <f t="shared" si="4"/>
        <v/>
      </c>
      <c r="T36" s="80" t="str">
        <f t="shared" si="4"/>
        <v/>
      </c>
      <c r="U36" s="80" t="str">
        <f t="shared" si="4"/>
        <v/>
      </c>
      <c r="V36" s="80" t="str">
        <f t="shared" si="4"/>
        <v/>
      </c>
      <c r="W36" s="80" t="str">
        <f t="shared" si="4"/>
        <v/>
      </c>
      <c r="X36" s="80" t="str">
        <f t="shared" si="4"/>
        <v/>
      </c>
      <c r="Y36" s="80" t="str">
        <f t="shared" si="4"/>
        <v/>
      </c>
      <c r="Z36" s="80" t="str">
        <f t="shared" si="4"/>
        <v/>
      </c>
      <c r="AA36" s="80" t="str">
        <f t="shared" si="4"/>
        <v/>
      </c>
      <c r="AB36" s="80" t="str">
        <f t="shared" si="4"/>
        <v/>
      </c>
      <c r="AC36" s="87" t="str">
        <f t="shared" si="4"/>
        <v/>
      </c>
    </row>
    <row r="37" spans="1:29" x14ac:dyDescent="0.35">
      <c r="A37"/>
      <c r="B37" s="95"/>
      <c r="D37" s="96"/>
      <c r="F37" s="86" t="str">
        <f t="shared" si="3"/>
        <v/>
      </c>
      <c r="G37" s="80" t="str">
        <f t="shared" si="3"/>
        <v/>
      </c>
      <c r="H37" s="80" t="str">
        <f t="shared" si="3"/>
        <v/>
      </c>
      <c r="I37" s="80" t="str">
        <f t="shared" si="3"/>
        <v/>
      </c>
      <c r="J37" s="80" t="str">
        <f t="shared" si="3"/>
        <v/>
      </c>
      <c r="K37" s="80" t="str">
        <f t="shared" si="3"/>
        <v/>
      </c>
      <c r="L37" s="80" t="str">
        <f t="shared" si="3"/>
        <v/>
      </c>
      <c r="M37" s="80" t="str">
        <f t="shared" si="3"/>
        <v/>
      </c>
      <c r="N37" s="80" t="str">
        <f t="shared" si="3"/>
        <v/>
      </c>
      <c r="O37" s="80" t="str">
        <f t="shared" si="3"/>
        <v/>
      </c>
      <c r="P37" s="80" t="str">
        <f t="shared" si="4"/>
        <v/>
      </c>
      <c r="Q37" s="80" t="str">
        <f t="shared" si="4"/>
        <v/>
      </c>
      <c r="R37" s="80" t="str">
        <f t="shared" si="4"/>
        <v/>
      </c>
      <c r="S37" s="80" t="str">
        <f t="shared" si="4"/>
        <v/>
      </c>
      <c r="T37" s="80" t="str">
        <f t="shared" si="4"/>
        <v/>
      </c>
      <c r="U37" s="80" t="str">
        <f t="shared" si="4"/>
        <v/>
      </c>
      <c r="V37" s="80" t="str">
        <f t="shared" si="4"/>
        <v/>
      </c>
      <c r="W37" s="80" t="str">
        <f t="shared" si="4"/>
        <v/>
      </c>
      <c r="X37" s="80" t="str">
        <f t="shared" si="4"/>
        <v/>
      </c>
      <c r="Y37" s="80" t="str">
        <f t="shared" si="4"/>
        <v/>
      </c>
      <c r="Z37" s="80" t="str">
        <f t="shared" si="4"/>
        <v/>
      </c>
      <c r="AA37" s="80" t="str">
        <f t="shared" si="4"/>
        <v/>
      </c>
      <c r="AB37" s="80" t="str">
        <f t="shared" si="4"/>
        <v/>
      </c>
      <c r="AC37" s="87" t="str">
        <f t="shared" si="4"/>
        <v/>
      </c>
    </row>
    <row r="38" spans="1:29" x14ac:dyDescent="0.35">
      <c r="A38"/>
      <c r="B38" s="95"/>
      <c r="D38" s="96"/>
      <c r="F38" s="86" t="str">
        <f t="shared" si="3"/>
        <v/>
      </c>
      <c r="G38" s="80" t="str">
        <f t="shared" si="3"/>
        <v/>
      </c>
      <c r="H38" s="80" t="str">
        <f t="shared" si="3"/>
        <v/>
      </c>
      <c r="I38" s="80" t="str">
        <f t="shared" si="3"/>
        <v/>
      </c>
      <c r="J38" s="80" t="str">
        <f t="shared" si="3"/>
        <v/>
      </c>
      <c r="K38" s="80" t="str">
        <f t="shared" si="3"/>
        <v/>
      </c>
      <c r="L38" s="80" t="str">
        <f t="shared" si="3"/>
        <v/>
      </c>
      <c r="M38" s="80" t="str">
        <f t="shared" si="3"/>
        <v/>
      </c>
      <c r="N38" s="80" t="str">
        <f t="shared" si="3"/>
        <v/>
      </c>
      <c r="O38" s="80" t="str">
        <f t="shared" si="3"/>
        <v/>
      </c>
      <c r="P38" s="80" t="str">
        <f t="shared" si="4"/>
        <v/>
      </c>
      <c r="Q38" s="80" t="str">
        <f t="shared" si="4"/>
        <v/>
      </c>
      <c r="R38" s="80" t="str">
        <f t="shared" si="4"/>
        <v/>
      </c>
      <c r="S38" s="80" t="str">
        <f t="shared" si="4"/>
        <v/>
      </c>
      <c r="T38" s="80" t="str">
        <f t="shared" si="4"/>
        <v/>
      </c>
      <c r="U38" s="80" t="str">
        <f t="shared" si="4"/>
        <v/>
      </c>
      <c r="V38" s="80" t="str">
        <f t="shared" si="4"/>
        <v/>
      </c>
      <c r="W38" s="80" t="str">
        <f t="shared" si="4"/>
        <v/>
      </c>
      <c r="X38" s="80" t="str">
        <f t="shared" si="4"/>
        <v/>
      </c>
      <c r="Y38" s="80" t="str">
        <f t="shared" si="4"/>
        <v/>
      </c>
      <c r="Z38" s="80" t="str">
        <f t="shared" si="4"/>
        <v/>
      </c>
      <c r="AA38" s="80" t="str">
        <f t="shared" si="4"/>
        <v/>
      </c>
      <c r="AB38" s="80" t="str">
        <f t="shared" si="4"/>
        <v/>
      </c>
      <c r="AC38" s="87" t="str">
        <f t="shared" si="4"/>
        <v/>
      </c>
    </row>
    <row r="39" spans="1:29" x14ac:dyDescent="0.35">
      <c r="A39"/>
      <c r="B39" s="95"/>
      <c r="D39" s="96"/>
      <c r="F39" s="86" t="str">
        <f t="shared" si="3"/>
        <v/>
      </c>
      <c r="G39" s="80" t="str">
        <f t="shared" si="3"/>
        <v/>
      </c>
      <c r="H39" s="80" t="str">
        <f t="shared" si="3"/>
        <v/>
      </c>
      <c r="I39" s="80" t="str">
        <f t="shared" si="3"/>
        <v/>
      </c>
      <c r="J39" s="80" t="str">
        <f t="shared" si="3"/>
        <v/>
      </c>
      <c r="K39" s="80" t="str">
        <f t="shared" si="3"/>
        <v/>
      </c>
      <c r="L39" s="80" t="str">
        <f t="shared" si="3"/>
        <v/>
      </c>
      <c r="M39" s="80" t="str">
        <f t="shared" si="3"/>
        <v/>
      </c>
      <c r="N39" s="80" t="str">
        <f t="shared" si="3"/>
        <v/>
      </c>
      <c r="O39" s="80" t="str">
        <f t="shared" si="3"/>
        <v/>
      </c>
      <c r="P39" s="80" t="str">
        <f t="shared" si="4"/>
        <v/>
      </c>
      <c r="Q39" s="80" t="str">
        <f t="shared" si="4"/>
        <v/>
      </c>
      <c r="R39" s="80" t="str">
        <f t="shared" si="4"/>
        <v/>
      </c>
      <c r="S39" s="80" t="str">
        <f t="shared" si="4"/>
        <v/>
      </c>
      <c r="T39" s="80" t="str">
        <f t="shared" si="4"/>
        <v/>
      </c>
      <c r="U39" s="80" t="str">
        <f t="shared" si="4"/>
        <v/>
      </c>
      <c r="V39" s="80" t="str">
        <f t="shared" si="4"/>
        <v/>
      </c>
      <c r="W39" s="80" t="str">
        <f t="shared" si="4"/>
        <v/>
      </c>
      <c r="X39" s="80" t="str">
        <f t="shared" si="4"/>
        <v/>
      </c>
      <c r="Y39" s="80" t="str">
        <f t="shared" si="4"/>
        <v/>
      </c>
      <c r="Z39" s="80" t="str">
        <f t="shared" si="4"/>
        <v/>
      </c>
      <c r="AA39" s="80" t="str">
        <f t="shared" si="4"/>
        <v/>
      </c>
      <c r="AB39" s="80" t="str">
        <f t="shared" si="4"/>
        <v/>
      </c>
      <c r="AC39" s="87" t="str">
        <f t="shared" si="4"/>
        <v/>
      </c>
    </row>
    <row r="40" spans="1:29" x14ac:dyDescent="0.35">
      <c r="A40"/>
      <c r="B40" s="95"/>
      <c r="D40" s="96"/>
      <c r="F40" s="86" t="str">
        <f t="shared" si="3"/>
        <v/>
      </c>
      <c r="G40" s="80" t="str">
        <f t="shared" si="3"/>
        <v/>
      </c>
      <c r="H40" s="80" t="str">
        <f t="shared" si="3"/>
        <v/>
      </c>
      <c r="I40" s="80" t="str">
        <f t="shared" si="3"/>
        <v/>
      </c>
      <c r="J40" s="80" t="str">
        <f t="shared" si="3"/>
        <v/>
      </c>
      <c r="K40" s="80" t="str">
        <f t="shared" si="3"/>
        <v/>
      </c>
      <c r="L40" s="80" t="str">
        <f t="shared" si="3"/>
        <v/>
      </c>
      <c r="M40" s="80" t="str">
        <f t="shared" si="3"/>
        <v/>
      </c>
      <c r="N40" s="80" t="str">
        <f t="shared" si="3"/>
        <v/>
      </c>
      <c r="O40" s="80" t="str">
        <f t="shared" si="3"/>
        <v/>
      </c>
      <c r="P40" s="80" t="str">
        <f t="shared" si="4"/>
        <v/>
      </c>
      <c r="Q40" s="80" t="str">
        <f t="shared" si="4"/>
        <v/>
      </c>
      <c r="R40" s="80" t="str">
        <f t="shared" si="4"/>
        <v/>
      </c>
      <c r="S40" s="80" t="str">
        <f t="shared" si="4"/>
        <v/>
      </c>
      <c r="T40" s="80" t="str">
        <f t="shared" si="4"/>
        <v/>
      </c>
      <c r="U40" s="80" t="str">
        <f t="shared" si="4"/>
        <v/>
      </c>
      <c r="V40" s="80" t="str">
        <f t="shared" si="4"/>
        <v/>
      </c>
      <c r="W40" s="80" t="str">
        <f t="shared" si="4"/>
        <v/>
      </c>
      <c r="X40" s="80" t="str">
        <f t="shared" si="4"/>
        <v/>
      </c>
      <c r="Y40" s="80" t="str">
        <f t="shared" si="4"/>
        <v/>
      </c>
      <c r="Z40" s="80" t="str">
        <f t="shared" si="4"/>
        <v/>
      </c>
      <c r="AA40" s="80" t="str">
        <f t="shared" si="4"/>
        <v/>
      </c>
      <c r="AB40" s="80" t="str">
        <f t="shared" si="4"/>
        <v/>
      </c>
      <c r="AC40" s="87" t="str">
        <f t="shared" si="4"/>
        <v/>
      </c>
    </row>
    <row r="41" spans="1:29" x14ac:dyDescent="0.35">
      <c r="A41"/>
      <c r="B41" s="95"/>
      <c r="D41" s="96"/>
      <c r="F41" s="86" t="str">
        <f t="shared" si="3"/>
        <v/>
      </c>
      <c r="G41" s="80" t="str">
        <f t="shared" si="3"/>
        <v/>
      </c>
      <c r="H41" s="80" t="str">
        <f t="shared" si="3"/>
        <v/>
      </c>
      <c r="I41" s="80" t="str">
        <f t="shared" si="3"/>
        <v/>
      </c>
      <c r="J41" s="80" t="str">
        <f t="shared" si="3"/>
        <v/>
      </c>
      <c r="K41" s="80" t="str">
        <f t="shared" si="3"/>
        <v/>
      </c>
      <c r="L41" s="80" t="str">
        <f t="shared" si="3"/>
        <v/>
      </c>
      <c r="M41" s="80" t="str">
        <f t="shared" si="3"/>
        <v/>
      </c>
      <c r="N41" s="80" t="str">
        <f t="shared" si="3"/>
        <v/>
      </c>
      <c r="O41" s="80" t="str">
        <f t="shared" si="3"/>
        <v/>
      </c>
      <c r="P41" s="80" t="str">
        <f t="shared" si="4"/>
        <v/>
      </c>
      <c r="Q41" s="80" t="str">
        <f t="shared" si="4"/>
        <v/>
      </c>
      <c r="R41" s="80" t="str">
        <f t="shared" si="4"/>
        <v/>
      </c>
      <c r="S41" s="80" t="str">
        <f t="shared" si="4"/>
        <v/>
      </c>
      <c r="T41" s="80" t="str">
        <f t="shared" si="4"/>
        <v/>
      </c>
      <c r="U41" s="80" t="str">
        <f t="shared" si="4"/>
        <v/>
      </c>
      <c r="V41" s="80" t="str">
        <f t="shared" si="4"/>
        <v/>
      </c>
      <c r="W41" s="80" t="str">
        <f t="shared" si="4"/>
        <v/>
      </c>
      <c r="X41" s="80" t="str">
        <f t="shared" si="4"/>
        <v/>
      </c>
      <c r="Y41" s="80" t="str">
        <f t="shared" ref="P41:AC59" si="5">IF(AND(Y$6&gt;=$C41, Y$6&lt;=$D41),"1","")</f>
        <v/>
      </c>
      <c r="Z41" s="80" t="str">
        <f t="shared" si="5"/>
        <v/>
      </c>
      <c r="AA41" s="80" t="str">
        <f t="shared" si="5"/>
        <v/>
      </c>
      <c r="AB41" s="80" t="str">
        <f t="shared" si="5"/>
        <v/>
      </c>
      <c r="AC41" s="87" t="str">
        <f t="shared" si="5"/>
        <v/>
      </c>
    </row>
    <row r="42" spans="1:29" x14ac:dyDescent="0.35">
      <c r="A42"/>
      <c r="B42" s="95"/>
      <c r="D42" s="96"/>
      <c r="F42" s="86" t="str">
        <f t="shared" si="3"/>
        <v/>
      </c>
      <c r="G42" s="80" t="str">
        <f t="shared" si="3"/>
        <v/>
      </c>
      <c r="H42" s="80" t="str">
        <f t="shared" si="3"/>
        <v/>
      </c>
      <c r="I42" s="80" t="str">
        <f t="shared" si="3"/>
        <v/>
      </c>
      <c r="J42" s="80" t="str">
        <f t="shared" si="3"/>
        <v/>
      </c>
      <c r="K42" s="80" t="str">
        <f t="shared" si="3"/>
        <v/>
      </c>
      <c r="L42" s="80" t="str">
        <f t="shared" si="3"/>
        <v/>
      </c>
      <c r="M42" s="80" t="str">
        <f t="shared" si="3"/>
        <v/>
      </c>
      <c r="N42" s="80" t="str">
        <f t="shared" si="3"/>
        <v/>
      </c>
      <c r="O42" s="80" t="str">
        <f t="shared" si="3"/>
        <v/>
      </c>
      <c r="P42" s="80" t="str">
        <f t="shared" si="5"/>
        <v/>
      </c>
      <c r="Q42" s="80" t="str">
        <f t="shared" si="5"/>
        <v/>
      </c>
      <c r="R42" s="80" t="str">
        <f t="shared" si="5"/>
        <v/>
      </c>
      <c r="S42" s="80" t="str">
        <f t="shared" si="5"/>
        <v/>
      </c>
      <c r="T42" s="80" t="str">
        <f t="shared" si="5"/>
        <v/>
      </c>
      <c r="U42" s="80" t="str">
        <f t="shared" si="5"/>
        <v/>
      </c>
      <c r="V42" s="80" t="str">
        <f t="shared" si="5"/>
        <v/>
      </c>
      <c r="W42" s="80" t="str">
        <f t="shared" si="5"/>
        <v/>
      </c>
      <c r="X42" s="80" t="str">
        <f t="shared" si="5"/>
        <v/>
      </c>
      <c r="Y42" s="80" t="str">
        <f t="shared" si="5"/>
        <v/>
      </c>
      <c r="Z42" s="80" t="str">
        <f t="shared" si="5"/>
        <v/>
      </c>
      <c r="AA42" s="80" t="str">
        <f t="shared" si="5"/>
        <v/>
      </c>
      <c r="AB42" s="80" t="str">
        <f t="shared" si="5"/>
        <v/>
      </c>
      <c r="AC42" s="87" t="str">
        <f t="shared" si="5"/>
        <v/>
      </c>
    </row>
    <row r="43" spans="1:29" x14ac:dyDescent="0.35">
      <c r="A43"/>
      <c r="B43" s="95"/>
      <c r="D43" s="96"/>
      <c r="F43" s="86" t="str">
        <f t="shared" si="3"/>
        <v/>
      </c>
      <c r="G43" s="80" t="str">
        <f t="shared" si="3"/>
        <v/>
      </c>
      <c r="H43" s="80" t="str">
        <f t="shared" si="3"/>
        <v/>
      </c>
      <c r="I43" s="80" t="str">
        <f t="shared" si="3"/>
        <v/>
      </c>
      <c r="J43" s="80" t="str">
        <f t="shared" si="3"/>
        <v/>
      </c>
      <c r="K43" s="80" t="str">
        <f t="shared" si="3"/>
        <v/>
      </c>
      <c r="L43" s="80" t="str">
        <f t="shared" si="3"/>
        <v/>
      </c>
      <c r="M43" s="80" t="str">
        <f t="shared" si="3"/>
        <v/>
      </c>
      <c r="N43" s="80" t="str">
        <f t="shared" si="3"/>
        <v/>
      </c>
      <c r="O43" s="80" t="str">
        <f t="shared" si="3"/>
        <v/>
      </c>
      <c r="P43" s="80" t="str">
        <f t="shared" si="5"/>
        <v/>
      </c>
      <c r="Q43" s="80" t="str">
        <f t="shared" si="5"/>
        <v/>
      </c>
      <c r="R43" s="80" t="str">
        <f t="shared" si="5"/>
        <v/>
      </c>
      <c r="S43" s="80" t="str">
        <f t="shared" si="5"/>
        <v/>
      </c>
      <c r="T43" s="80" t="str">
        <f t="shared" si="5"/>
        <v/>
      </c>
      <c r="U43" s="80" t="str">
        <f t="shared" si="5"/>
        <v/>
      </c>
      <c r="V43" s="80" t="str">
        <f t="shared" si="5"/>
        <v/>
      </c>
      <c r="W43" s="80" t="str">
        <f t="shared" si="5"/>
        <v/>
      </c>
      <c r="X43" s="80" t="str">
        <f t="shared" si="5"/>
        <v/>
      </c>
      <c r="Y43" s="80" t="str">
        <f t="shared" si="5"/>
        <v/>
      </c>
      <c r="Z43" s="80" t="str">
        <f t="shared" si="5"/>
        <v/>
      </c>
      <c r="AA43" s="80" t="str">
        <f t="shared" si="5"/>
        <v/>
      </c>
      <c r="AB43" s="80" t="str">
        <f t="shared" si="5"/>
        <v/>
      </c>
      <c r="AC43" s="87" t="str">
        <f t="shared" si="5"/>
        <v/>
      </c>
    </row>
    <row r="44" spans="1:29" x14ac:dyDescent="0.35">
      <c r="A44"/>
      <c r="B44" s="95"/>
      <c r="D44" s="96"/>
      <c r="F44" s="86" t="str">
        <f t="shared" si="3"/>
        <v/>
      </c>
      <c r="G44" s="80" t="str">
        <f t="shared" si="3"/>
        <v/>
      </c>
      <c r="H44" s="80" t="str">
        <f t="shared" si="3"/>
        <v/>
      </c>
      <c r="I44" s="80" t="str">
        <f t="shared" si="3"/>
        <v/>
      </c>
      <c r="J44" s="80" t="str">
        <f t="shared" si="3"/>
        <v/>
      </c>
      <c r="K44" s="80" t="str">
        <f t="shared" si="3"/>
        <v/>
      </c>
      <c r="L44" s="80" t="str">
        <f t="shared" si="3"/>
        <v/>
      </c>
      <c r="M44" s="80" t="str">
        <f t="shared" si="3"/>
        <v/>
      </c>
      <c r="N44" s="80" t="str">
        <f t="shared" si="3"/>
        <v/>
      </c>
      <c r="O44" s="80" t="str">
        <f t="shared" si="3"/>
        <v/>
      </c>
      <c r="P44" s="80" t="str">
        <f t="shared" si="5"/>
        <v/>
      </c>
      <c r="Q44" s="80" t="str">
        <f t="shared" si="5"/>
        <v/>
      </c>
      <c r="R44" s="80" t="str">
        <f t="shared" si="5"/>
        <v/>
      </c>
      <c r="S44" s="80" t="str">
        <f t="shared" si="5"/>
        <v/>
      </c>
      <c r="T44" s="80" t="str">
        <f t="shared" si="5"/>
        <v/>
      </c>
      <c r="U44" s="80" t="str">
        <f t="shared" si="5"/>
        <v/>
      </c>
      <c r="V44" s="80" t="str">
        <f t="shared" si="5"/>
        <v/>
      </c>
      <c r="W44" s="80" t="str">
        <f t="shared" si="5"/>
        <v/>
      </c>
      <c r="X44" s="80" t="str">
        <f t="shared" si="5"/>
        <v/>
      </c>
      <c r="Y44" s="80" t="str">
        <f t="shared" si="5"/>
        <v/>
      </c>
      <c r="Z44" s="80" t="str">
        <f t="shared" si="5"/>
        <v/>
      </c>
      <c r="AA44" s="80" t="str">
        <f t="shared" si="5"/>
        <v/>
      </c>
      <c r="AB44" s="80" t="str">
        <f t="shared" si="5"/>
        <v/>
      </c>
      <c r="AC44" s="87" t="str">
        <f t="shared" si="5"/>
        <v/>
      </c>
    </row>
    <row r="45" spans="1:29" x14ac:dyDescent="0.35">
      <c r="A45"/>
      <c r="B45" s="95"/>
      <c r="D45" s="96"/>
      <c r="F45" s="86" t="str">
        <f t="shared" si="3"/>
        <v/>
      </c>
      <c r="G45" s="80" t="str">
        <f t="shared" si="3"/>
        <v/>
      </c>
      <c r="H45" s="80" t="str">
        <f t="shared" si="3"/>
        <v/>
      </c>
      <c r="I45" s="80" t="str">
        <f t="shared" si="3"/>
        <v/>
      </c>
      <c r="J45" s="80" t="str">
        <f t="shared" si="3"/>
        <v/>
      </c>
      <c r="K45" s="80" t="str">
        <f t="shared" si="3"/>
        <v/>
      </c>
      <c r="L45" s="80" t="str">
        <f t="shared" si="3"/>
        <v/>
      </c>
      <c r="M45" s="80" t="str">
        <f t="shared" si="3"/>
        <v/>
      </c>
      <c r="N45" s="80" t="str">
        <f t="shared" si="3"/>
        <v/>
      </c>
      <c r="O45" s="80" t="str">
        <f t="shared" si="3"/>
        <v/>
      </c>
      <c r="P45" s="80" t="str">
        <f t="shared" si="5"/>
        <v/>
      </c>
      <c r="Q45" s="80" t="str">
        <f t="shared" si="5"/>
        <v/>
      </c>
      <c r="R45" s="80" t="str">
        <f t="shared" si="5"/>
        <v/>
      </c>
      <c r="S45" s="80" t="str">
        <f t="shared" si="5"/>
        <v/>
      </c>
      <c r="T45" s="80" t="str">
        <f t="shared" si="5"/>
        <v/>
      </c>
      <c r="U45" s="80" t="str">
        <f t="shared" si="5"/>
        <v/>
      </c>
      <c r="V45" s="80" t="str">
        <f t="shared" si="5"/>
        <v/>
      </c>
      <c r="W45" s="80" t="str">
        <f t="shared" si="5"/>
        <v/>
      </c>
      <c r="X45" s="80" t="str">
        <f t="shared" si="5"/>
        <v/>
      </c>
      <c r="Y45" s="80" t="str">
        <f t="shared" si="5"/>
        <v/>
      </c>
      <c r="Z45" s="80" t="str">
        <f t="shared" si="5"/>
        <v/>
      </c>
      <c r="AA45" s="80" t="str">
        <f t="shared" si="5"/>
        <v/>
      </c>
      <c r="AB45" s="80" t="str">
        <f t="shared" si="5"/>
        <v/>
      </c>
      <c r="AC45" s="87" t="str">
        <f t="shared" si="5"/>
        <v/>
      </c>
    </row>
    <row r="46" spans="1:29" x14ac:dyDescent="0.35">
      <c r="A46"/>
      <c r="B46" s="95"/>
      <c r="D46" s="96"/>
      <c r="F46" s="86" t="str">
        <f t="shared" si="3"/>
        <v/>
      </c>
      <c r="G46" s="80" t="str">
        <f t="shared" si="3"/>
        <v/>
      </c>
      <c r="H46" s="80" t="str">
        <f t="shared" si="3"/>
        <v/>
      </c>
      <c r="I46" s="80" t="str">
        <f t="shared" si="3"/>
        <v/>
      </c>
      <c r="J46" s="80" t="str">
        <f t="shared" si="3"/>
        <v/>
      </c>
      <c r="K46" s="80" t="str">
        <f t="shared" si="3"/>
        <v/>
      </c>
      <c r="L46" s="80" t="str">
        <f t="shared" si="3"/>
        <v/>
      </c>
      <c r="M46" s="80" t="str">
        <f t="shared" si="3"/>
        <v/>
      </c>
      <c r="N46" s="80" t="str">
        <f t="shared" si="3"/>
        <v/>
      </c>
      <c r="O46" s="80" t="str">
        <f t="shared" si="3"/>
        <v/>
      </c>
      <c r="P46" s="80" t="str">
        <f t="shared" si="5"/>
        <v/>
      </c>
      <c r="Q46" s="80" t="str">
        <f t="shared" si="5"/>
        <v/>
      </c>
      <c r="R46" s="80" t="str">
        <f t="shared" si="5"/>
        <v/>
      </c>
      <c r="S46" s="80" t="str">
        <f t="shared" si="5"/>
        <v/>
      </c>
      <c r="T46" s="80" t="str">
        <f t="shared" si="5"/>
        <v/>
      </c>
      <c r="U46" s="80" t="str">
        <f t="shared" si="5"/>
        <v/>
      </c>
      <c r="V46" s="80" t="str">
        <f t="shared" si="5"/>
        <v/>
      </c>
      <c r="W46" s="80" t="str">
        <f t="shared" si="5"/>
        <v/>
      </c>
      <c r="X46" s="80" t="str">
        <f t="shared" si="5"/>
        <v/>
      </c>
      <c r="Y46" s="80" t="str">
        <f t="shared" si="5"/>
        <v/>
      </c>
      <c r="Z46" s="80" t="str">
        <f t="shared" si="5"/>
        <v/>
      </c>
      <c r="AA46" s="80" t="str">
        <f t="shared" si="5"/>
        <v/>
      </c>
      <c r="AB46" s="80" t="str">
        <f t="shared" si="5"/>
        <v/>
      </c>
      <c r="AC46" s="87" t="str">
        <f t="shared" si="5"/>
        <v/>
      </c>
    </row>
    <row r="47" spans="1:29" x14ac:dyDescent="0.35">
      <c r="A47"/>
      <c r="B47" s="95"/>
      <c r="D47" s="96"/>
      <c r="F47" s="86" t="str">
        <f t="shared" si="3"/>
        <v/>
      </c>
      <c r="G47" s="80" t="str">
        <f t="shared" si="3"/>
        <v/>
      </c>
      <c r="H47" s="80" t="str">
        <f t="shared" si="3"/>
        <v/>
      </c>
      <c r="I47" s="80" t="str">
        <f t="shared" si="3"/>
        <v/>
      </c>
      <c r="J47" s="80" t="str">
        <f t="shared" si="3"/>
        <v/>
      </c>
      <c r="K47" s="80" t="str">
        <f t="shared" si="3"/>
        <v/>
      </c>
      <c r="L47" s="80" t="str">
        <f t="shared" si="3"/>
        <v/>
      </c>
      <c r="M47" s="80" t="str">
        <f t="shared" si="3"/>
        <v/>
      </c>
      <c r="N47" s="80" t="str">
        <f t="shared" si="3"/>
        <v/>
      </c>
      <c r="O47" s="80" t="str">
        <f t="shared" ref="F47:O73" si="6">IF(AND(O$6&gt;=$C47, O$6&lt;=$D47),"1","")</f>
        <v/>
      </c>
      <c r="P47" s="80" t="str">
        <f t="shared" si="5"/>
        <v/>
      </c>
      <c r="Q47" s="80" t="str">
        <f t="shared" si="5"/>
        <v/>
      </c>
      <c r="R47" s="80" t="str">
        <f t="shared" si="5"/>
        <v/>
      </c>
      <c r="S47" s="80" t="str">
        <f t="shared" si="5"/>
        <v/>
      </c>
      <c r="T47" s="80" t="str">
        <f t="shared" si="5"/>
        <v/>
      </c>
      <c r="U47" s="80" t="str">
        <f t="shared" si="5"/>
        <v/>
      </c>
      <c r="V47" s="80" t="str">
        <f t="shared" si="5"/>
        <v/>
      </c>
      <c r="W47" s="80" t="str">
        <f t="shared" si="5"/>
        <v/>
      </c>
      <c r="X47" s="80" t="str">
        <f t="shared" si="5"/>
        <v/>
      </c>
      <c r="Y47" s="80" t="str">
        <f t="shared" si="5"/>
        <v/>
      </c>
      <c r="Z47" s="80" t="str">
        <f t="shared" si="5"/>
        <v/>
      </c>
      <c r="AA47" s="80" t="str">
        <f t="shared" si="5"/>
        <v/>
      </c>
      <c r="AB47" s="80" t="str">
        <f t="shared" si="5"/>
        <v/>
      </c>
      <c r="AC47" s="87" t="str">
        <f t="shared" si="5"/>
        <v/>
      </c>
    </row>
    <row r="48" spans="1:29" x14ac:dyDescent="0.35">
      <c r="A48"/>
      <c r="B48" s="95"/>
      <c r="D48" s="96"/>
      <c r="F48" s="86" t="str">
        <f t="shared" si="6"/>
        <v/>
      </c>
      <c r="G48" s="80" t="str">
        <f t="shared" si="6"/>
        <v/>
      </c>
      <c r="H48" s="80" t="str">
        <f t="shared" si="6"/>
        <v/>
      </c>
      <c r="I48" s="80" t="str">
        <f t="shared" si="6"/>
        <v/>
      </c>
      <c r="J48" s="80" t="str">
        <f t="shared" si="6"/>
        <v/>
      </c>
      <c r="K48" s="80" t="str">
        <f t="shared" si="6"/>
        <v/>
      </c>
      <c r="L48" s="80" t="str">
        <f t="shared" si="6"/>
        <v/>
      </c>
      <c r="M48" s="80" t="str">
        <f t="shared" si="6"/>
        <v/>
      </c>
      <c r="N48" s="80" t="str">
        <f t="shared" si="6"/>
        <v/>
      </c>
      <c r="O48" s="80" t="str">
        <f t="shared" si="6"/>
        <v/>
      </c>
      <c r="P48" s="80" t="str">
        <f t="shared" si="5"/>
        <v/>
      </c>
      <c r="Q48" s="80" t="str">
        <f t="shared" si="5"/>
        <v/>
      </c>
      <c r="R48" s="80" t="str">
        <f t="shared" si="5"/>
        <v/>
      </c>
      <c r="S48" s="80" t="str">
        <f t="shared" si="5"/>
        <v/>
      </c>
      <c r="T48" s="80" t="str">
        <f t="shared" si="5"/>
        <v/>
      </c>
      <c r="U48" s="80" t="str">
        <f t="shared" si="5"/>
        <v/>
      </c>
      <c r="V48" s="80" t="str">
        <f t="shared" si="5"/>
        <v/>
      </c>
      <c r="W48" s="80" t="str">
        <f t="shared" si="5"/>
        <v/>
      </c>
      <c r="X48" s="80" t="str">
        <f t="shared" si="5"/>
        <v/>
      </c>
      <c r="Y48" s="80" t="str">
        <f t="shared" si="5"/>
        <v/>
      </c>
      <c r="Z48" s="80" t="str">
        <f t="shared" si="5"/>
        <v/>
      </c>
      <c r="AA48" s="80" t="str">
        <f t="shared" si="5"/>
        <v/>
      </c>
      <c r="AB48" s="80" t="str">
        <f t="shared" si="5"/>
        <v/>
      </c>
      <c r="AC48" s="87" t="str">
        <f t="shared" si="5"/>
        <v/>
      </c>
    </row>
    <row r="49" spans="1:29" x14ac:dyDescent="0.35">
      <c r="A49"/>
      <c r="B49" s="95"/>
      <c r="D49" s="96"/>
      <c r="F49" s="86" t="str">
        <f t="shared" si="6"/>
        <v/>
      </c>
      <c r="G49" s="80" t="str">
        <f t="shared" si="6"/>
        <v/>
      </c>
      <c r="H49" s="80" t="str">
        <f t="shared" si="6"/>
        <v/>
      </c>
      <c r="I49" s="80" t="str">
        <f t="shared" si="6"/>
        <v/>
      </c>
      <c r="J49" s="80" t="str">
        <f t="shared" si="6"/>
        <v/>
      </c>
      <c r="K49" s="80" t="str">
        <f t="shared" si="6"/>
        <v/>
      </c>
      <c r="L49" s="80" t="str">
        <f t="shared" si="6"/>
        <v/>
      </c>
      <c r="M49" s="80" t="str">
        <f t="shared" si="6"/>
        <v/>
      </c>
      <c r="N49" s="80" t="str">
        <f t="shared" si="6"/>
        <v/>
      </c>
      <c r="O49" s="80" t="str">
        <f t="shared" si="6"/>
        <v/>
      </c>
      <c r="P49" s="80" t="str">
        <f t="shared" si="5"/>
        <v/>
      </c>
      <c r="Q49" s="80" t="str">
        <f t="shared" si="5"/>
        <v/>
      </c>
      <c r="R49" s="80" t="str">
        <f t="shared" si="5"/>
        <v/>
      </c>
      <c r="S49" s="80" t="str">
        <f t="shared" si="5"/>
        <v/>
      </c>
      <c r="T49" s="80" t="str">
        <f t="shared" si="5"/>
        <v/>
      </c>
      <c r="U49" s="80" t="str">
        <f t="shared" si="5"/>
        <v/>
      </c>
      <c r="V49" s="80" t="str">
        <f t="shared" si="5"/>
        <v/>
      </c>
      <c r="W49" s="80" t="str">
        <f t="shared" si="5"/>
        <v/>
      </c>
      <c r="X49" s="80" t="str">
        <f t="shared" si="5"/>
        <v/>
      </c>
      <c r="Y49" s="80" t="str">
        <f t="shared" si="5"/>
        <v/>
      </c>
      <c r="Z49" s="80" t="str">
        <f t="shared" si="5"/>
        <v/>
      </c>
      <c r="AA49" s="80" t="str">
        <f t="shared" si="5"/>
        <v/>
      </c>
      <c r="AB49" s="80" t="str">
        <f t="shared" si="5"/>
        <v/>
      </c>
      <c r="AC49" s="87" t="str">
        <f t="shared" si="5"/>
        <v/>
      </c>
    </row>
    <row r="50" spans="1:29" x14ac:dyDescent="0.35">
      <c r="A50"/>
      <c r="B50" s="95"/>
      <c r="D50" s="96"/>
      <c r="F50" s="86" t="str">
        <f t="shared" si="6"/>
        <v/>
      </c>
      <c r="G50" s="80" t="str">
        <f t="shared" si="6"/>
        <v/>
      </c>
      <c r="H50" s="80" t="str">
        <f t="shared" si="6"/>
        <v/>
      </c>
      <c r="I50" s="80" t="str">
        <f t="shared" si="6"/>
        <v/>
      </c>
      <c r="J50" s="80" t="str">
        <f t="shared" si="6"/>
        <v/>
      </c>
      <c r="K50" s="80" t="str">
        <f t="shared" si="6"/>
        <v/>
      </c>
      <c r="L50" s="80" t="str">
        <f t="shared" si="6"/>
        <v/>
      </c>
      <c r="M50" s="80" t="str">
        <f t="shared" si="6"/>
        <v/>
      </c>
      <c r="N50" s="80" t="str">
        <f t="shared" si="6"/>
        <v/>
      </c>
      <c r="O50" s="80" t="str">
        <f t="shared" si="6"/>
        <v/>
      </c>
      <c r="P50" s="80" t="str">
        <f t="shared" si="5"/>
        <v/>
      </c>
      <c r="Q50" s="80" t="str">
        <f t="shared" si="5"/>
        <v/>
      </c>
      <c r="R50" s="80" t="str">
        <f t="shared" si="5"/>
        <v/>
      </c>
      <c r="S50" s="80" t="str">
        <f t="shared" si="5"/>
        <v/>
      </c>
      <c r="T50" s="80" t="str">
        <f t="shared" si="5"/>
        <v/>
      </c>
      <c r="U50" s="80" t="str">
        <f t="shared" si="5"/>
        <v/>
      </c>
      <c r="V50" s="80" t="str">
        <f t="shared" si="5"/>
        <v/>
      </c>
      <c r="W50" s="80" t="str">
        <f t="shared" si="5"/>
        <v/>
      </c>
      <c r="X50" s="80" t="str">
        <f t="shared" si="5"/>
        <v/>
      </c>
      <c r="Y50" s="80" t="str">
        <f t="shared" si="5"/>
        <v/>
      </c>
      <c r="Z50" s="80" t="str">
        <f t="shared" si="5"/>
        <v/>
      </c>
      <c r="AA50" s="80" t="str">
        <f t="shared" si="5"/>
        <v/>
      </c>
      <c r="AB50" s="80" t="str">
        <f t="shared" si="5"/>
        <v/>
      </c>
      <c r="AC50" s="87" t="str">
        <f t="shared" si="5"/>
        <v/>
      </c>
    </row>
    <row r="51" spans="1:29" x14ac:dyDescent="0.35">
      <c r="A51"/>
      <c r="B51" s="95"/>
      <c r="D51" s="96"/>
      <c r="F51" s="86" t="str">
        <f t="shared" si="6"/>
        <v/>
      </c>
      <c r="G51" s="80" t="str">
        <f t="shared" si="6"/>
        <v/>
      </c>
      <c r="H51" s="80" t="str">
        <f t="shared" si="6"/>
        <v/>
      </c>
      <c r="I51" s="80" t="str">
        <f t="shared" si="6"/>
        <v/>
      </c>
      <c r="J51" s="80" t="str">
        <f t="shared" si="6"/>
        <v/>
      </c>
      <c r="K51" s="80" t="str">
        <f t="shared" si="6"/>
        <v/>
      </c>
      <c r="L51" s="80" t="str">
        <f t="shared" si="6"/>
        <v/>
      </c>
      <c r="M51" s="80" t="str">
        <f t="shared" si="6"/>
        <v/>
      </c>
      <c r="N51" s="80" t="str">
        <f t="shared" si="6"/>
        <v/>
      </c>
      <c r="O51" s="80" t="str">
        <f t="shared" si="6"/>
        <v/>
      </c>
      <c r="P51" s="80" t="str">
        <f t="shared" si="5"/>
        <v/>
      </c>
      <c r="Q51" s="80" t="str">
        <f t="shared" si="5"/>
        <v/>
      </c>
      <c r="R51" s="80" t="str">
        <f t="shared" si="5"/>
        <v/>
      </c>
      <c r="S51" s="80" t="str">
        <f t="shared" si="5"/>
        <v/>
      </c>
      <c r="T51" s="80" t="str">
        <f t="shared" si="5"/>
        <v/>
      </c>
      <c r="U51" s="80" t="str">
        <f t="shared" si="5"/>
        <v/>
      </c>
      <c r="V51" s="80" t="str">
        <f t="shared" si="5"/>
        <v/>
      </c>
      <c r="W51" s="80" t="str">
        <f t="shared" si="5"/>
        <v/>
      </c>
      <c r="X51" s="80" t="str">
        <f t="shared" si="5"/>
        <v/>
      </c>
      <c r="Y51" s="80" t="str">
        <f t="shared" si="5"/>
        <v/>
      </c>
      <c r="Z51" s="80" t="str">
        <f t="shared" si="5"/>
        <v/>
      </c>
      <c r="AA51" s="80" t="str">
        <f t="shared" si="5"/>
        <v/>
      </c>
      <c r="AB51" s="80" t="str">
        <f t="shared" si="5"/>
        <v/>
      </c>
      <c r="AC51" s="87" t="str">
        <f t="shared" si="5"/>
        <v/>
      </c>
    </row>
    <row r="52" spans="1:29" x14ac:dyDescent="0.35">
      <c r="A52"/>
      <c r="B52" s="95"/>
      <c r="D52" s="96"/>
      <c r="F52" s="86" t="str">
        <f t="shared" si="6"/>
        <v/>
      </c>
      <c r="G52" s="80" t="str">
        <f t="shared" si="6"/>
        <v/>
      </c>
      <c r="H52" s="80" t="str">
        <f t="shared" si="6"/>
        <v/>
      </c>
      <c r="I52" s="80" t="str">
        <f t="shared" si="6"/>
        <v/>
      </c>
      <c r="J52" s="80" t="str">
        <f t="shared" si="6"/>
        <v/>
      </c>
      <c r="K52" s="80" t="str">
        <f t="shared" si="6"/>
        <v/>
      </c>
      <c r="L52" s="80" t="str">
        <f t="shared" si="6"/>
        <v/>
      </c>
      <c r="M52" s="80" t="str">
        <f t="shared" si="6"/>
        <v/>
      </c>
      <c r="N52" s="80" t="str">
        <f t="shared" si="6"/>
        <v/>
      </c>
      <c r="O52" s="80" t="str">
        <f t="shared" si="6"/>
        <v/>
      </c>
      <c r="P52" s="80" t="str">
        <f t="shared" si="5"/>
        <v/>
      </c>
      <c r="Q52" s="80" t="str">
        <f t="shared" si="5"/>
        <v/>
      </c>
      <c r="R52" s="80" t="str">
        <f t="shared" si="5"/>
        <v/>
      </c>
      <c r="S52" s="80" t="str">
        <f t="shared" si="5"/>
        <v/>
      </c>
      <c r="T52" s="80" t="str">
        <f t="shared" si="5"/>
        <v/>
      </c>
      <c r="U52" s="80" t="str">
        <f t="shared" si="5"/>
        <v/>
      </c>
      <c r="V52" s="80" t="str">
        <f t="shared" si="5"/>
        <v/>
      </c>
      <c r="W52" s="80" t="str">
        <f t="shared" si="5"/>
        <v/>
      </c>
      <c r="X52" s="80" t="str">
        <f t="shared" si="5"/>
        <v/>
      </c>
      <c r="Y52" s="80" t="str">
        <f t="shared" si="5"/>
        <v/>
      </c>
      <c r="Z52" s="80" t="str">
        <f t="shared" si="5"/>
        <v/>
      </c>
      <c r="AA52" s="80" t="str">
        <f t="shared" si="5"/>
        <v/>
      </c>
      <c r="AB52" s="80" t="str">
        <f t="shared" si="5"/>
        <v/>
      </c>
      <c r="AC52" s="87" t="str">
        <f t="shared" si="5"/>
        <v/>
      </c>
    </row>
    <row r="53" spans="1:29" x14ac:dyDescent="0.35">
      <c r="A53"/>
      <c r="B53" s="95"/>
      <c r="D53" s="96"/>
      <c r="F53" s="86" t="str">
        <f t="shared" si="6"/>
        <v/>
      </c>
      <c r="G53" s="80" t="str">
        <f t="shared" si="6"/>
        <v/>
      </c>
      <c r="H53" s="80" t="str">
        <f t="shared" si="6"/>
        <v/>
      </c>
      <c r="I53" s="80" t="str">
        <f t="shared" si="6"/>
        <v/>
      </c>
      <c r="J53" s="80" t="str">
        <f t="shared" si="6"/>
        <v/>
      </c>
      <c r="K53" s="80" t="str">
        <f t="shared" si="6"/>
        <v/>
      </c>
      <c r="L53" s="80" t="str">
        <f t="shared" si="6"/>
        <v/>
      </c>
      <c r="M53" s="80" t="str">
        <f t="shared" si="6"/>
        <v/>
      </c>
      <c r="N53" s="80" t="str">
        <f t="shared" si="6"/>
        <v/>
      </c>
      <c r="O53" s="80" t="str">
        <f t="shared" si="6"/>
        <v/>
      </c>
      <c r="P53" s="80" t="str">
        <f t="shared" si="5"/>
        <v/>
      </c>
      <c r="Q53" s="80" t="str">
        <f t="shared" si="5"/>
        <v/>
      </c>
      <c r="R53" s="80" t="str">
        <f t="shared" si="5"/>
        <v/>
      </c>
      <c r="S53" s="80" t="str">
        <f t="shared" si="5"/>
        <v/>
      </c>
      <c r="T53" s="80" t="str">
        <f t="shared" si="5"/>
        <v/>
      </c>
      <c r="U53" s="80" t="str">
        <f t="shared" si="5"/>
        <v/>
      </c>
      <c r="V53" s="80" t="str">
        <f t="shared" si="5"/>
        <v/>
      </c>
      <c r="W53" s="80" t="str">
        <f t="shared" si="5"/>
        <v/>
      </c>
      <c r="X53" s="80" t="str">
        <f t="shared" si="5"/>
        <v/>
      </c>
      <c r="Y53" s="80" t="str">
        <f t="shared" si="5"/>
        <v/>
      </c>
      <c r="Z53" s="80" t="str">
        <f t="shared" si="5"/>
        <v/>
      </c>
      <c r="AA53" s="80" t="str">
        <f t="shared" si="5"/>
        <v/>
      </c>
      <c r="AB53" s="80" t="str">
        <f t="shared" si="5"/>
        <v/>
      </c>
      <c r="AC53" s="87" t="str">
        <f t="shared" si="5"/>
        <v/>
      </c>
    </row>
    <row r="54" spans="1:29" x14ac:dyDescent="0.35">
      <c r="A54"/>
      <c r="B54" s="95"/>
      <c r="D54" s="96"/>
      <c r="F54" s="86" t="str">
        <f t="shared" si="6"/>
        <v/>
      </c>
      <c r="G54" s="80" t="str">
        <f t="shared" si="6"/>
        <v/>
      </c>
      <c r="H54" s="80" t="str">
        <f t="shared" si="6"/>
        <v/>
      </c>
      <c r="I54" s="80" t="str">
        <f t="shared" si="6"/>
        <v/>
      </c>
      <c r="J54" s="80" t="str">
        <f t="shared" si="6"/>
        <v/>
      </c>
      <c r="K54" s="80" t="str">
        <f t="shared" si="6"/>
        <v/>
      </c>
      <c r="L54" s="80" t="str">
        <f t="shared" si="6"/>
        <v/>
      </c>
      <c r="M54" s="80" t="str">
        <f t="shared" si="6"/>
        <v/>
      </c>
      <c r="N54" s="80" t="str">
        <f t="shared" si="6"/>
        <v/>
      </c>
      <c r="O54" s="80" t="str">
        <f t="shared" si="6"/>
        <v/>
      </c>
      <c r="P54" s="80" t="str">
        <f t="shared" si="5"/>
        <v/>
      </c>
      <c r="Q54" s="80" t="str">
        <f t="shared" si="5"/>
        <v/>
      </c>
      <c r="R54" s="80" t="str">
        <f t="shared" si="5"/>
        <v/>
      </c>
      <c r="S54" s="80" t="str">
        <f t="shared" si="5"/>
        <v/>
      </c>
      <c r="T54" s="80" t="str">
        <f t="shared" si="5"/>
        <v/>
      </c>
      <c r="U54" s="80" t="str">
        <f t="shared" si="5"/>
        <v/>
      </c>
      <c r="V54" s="80" t="str">
        <f t="shared" si="5"/>
        <v/>
      </c>
      <c r="W54" s="80" t="str">
        <f t="shared" si="5"/>
        <v/>
      </c>
      <c r="X54" s="80" t="str">
        <f t="shared" si="5"/>
        <v/>
      </c>
      <c r="Y54" s="80" t="str">
        <f t="shared" si="5"/>
        <v/>
      </c>
      <c r="Z54" s="80" t="str">
        <f t="shared" si="5"/>
        <v/>
      </c>
      <c r="AA54" s="80" t="str">
        <f t="shared" si="5"/>
        <v/>
      </c>
      <c r="AB54" s="80" t="str">
        <f t="shared" si="5"/>
        <v/>
      </c>
      <c r="AC54" s="87" t="str">
        <f t="shared" si="5"/>
        <v/>
      </c>
    </row>
    <row r="55" spans="1:29" x14ac:dyDescent="0.35">
      <c r="A55"/>
      <c r="B55" s="95"/>
      <c r="D55" s="96"/>
      <c r="F55" s="86" t="str">
        <f t="shared" si="6"/>
        <v/>
      </c>
      <c r="G55" s="80" t="str">
        <f t="shared" si="6"/>
        <v/>
      </c>
      <c r="H55" s="80" t="str">
        <f t="shared" si="6"/>
        <v/>
      </c>
      <c r="I55" s="80" t="str">
        <f t="shared" si="6"/>
        <v/>
      </c>
      <c r="J55" s="80" t="str">
        <f t="shared" si="6"/>
        <v/>
      </c>
      <c r="K55" s="80" t="str">
        <f t="shared" si="6"/>
        <v/>
      </c>
      <c r="L55" s="80" t="str">
        <f t="shared" si="6"/>
        <v/>
      </c>
      <c r="M55" s="80" t="str">
        <f t="shared" si="6"/>
        <v/>
      </c>
      <c r="N55" s="80" t="str">
        <f t="shared" si="6"/>
        <v/>
      </c>
      <c r="O55" s="80" t="str">
        <f t="shared" si="6"/>
        <v/>
      </c>
      <c r="P55" s="80" t="str">
        <f t="shared" si="5"/>
        <v/>
      </c>
      <c r="Q55" s="80" t="str">
        <f t="shared" si="5"/>
        <v/>
      </c>
      <c r="R55" s="80" t="str">
        <f t="shared" si="5"/>
        <v/>
      </c>
      <c r="S55" s="80" t="str">
        <f t="shared" si="5"/>
        <v/>
      </c>
      <c r="T55" s="80" t="str">
        <f t="shared" si="5"/>
        <v/>
      </c>
      <c r="U55" s="80" t="str">
        <f t="shared" si="5"/>
        <v/>
      </c>
      <c r="V55" s="80" t="str">
        <f t="shared" si="5"/>
        <v/>
      </c>
      <c r="W55" s="80" t="str">
        <f t="shared" si="5"/>
        <v/>
      </c>
      <c r="X55" s="80" t="str">
        <f t="shared" si="5"/>
        <v/>
      </c>
      <c r="Y55" s="80" t="str">
        <f t="shared" si="5"/>
        <v/>
      </c>
      <c r="Z55" s="80" t="str">
        <f t="shared" si="5"/>
        <v/>
      </c>
      <c r="AA55" s="80" t="str">
        <f t="shared" si="5"/>
        <v/>
      </c>
      <c r="AB55" s="80" t="str">
        <f t="shared" si="5"/>
        <v/>
      </c>
      <c r="AC55" s="87" t="str">
        <f t="shared" si="5"/>
        <v/>
      </c>
    </row>
    <row r="56" spans="1:29" x14ac:dyDescent="0.35">
      <c r="A56"/>
      <c r="B56" s="95"/>
      <c r="D56" s="96"/>
      <c r="F56" s="86" t="str">
        <f t="shared" si="6"/>
        <v/>
      </c>
      <c r="G56" s="80" t="str">
        <f t="shared" si="6"/>
        <v/>
      </c>
      <c r="H56" s="80" t="str">
        <f t="shared" si="6"/>
        <v/>
      </c>
      <c r="I56" s="80" t="str">
        <f t="shared" si="6"/>
        <v/>
      </c>
      <c r="J56" s="80" t="str">
        <f t="shared" si="6"/>
        <v/>
      </c>
      <c r="K56" s="80" t="str">
        <f t="shared" si="6"/>
        <v/>
      </c>
      <c r="L56" s="80" t="str">
        <f t="shared" si="6"/>
        <v/>
      </c>
      <c r="M56" s="80" t="str">
        <f t="shared" si="6"/>
        <v/>
      </c>
      <c r="N56" s="80" t="str">
        <f t="shared" si="6"/>
        <v/>
      </c>
      <c r="O56" s="80" t="str">
        <f t="shared" si="6"/>
        <v/>
      </c>
      <c r="P56" s="80" t="str">
        <f t="shared" si="5"/>
        <v/>
      </c>
      <c r="Q56" s="80" t="str">
        <f t="shared" si="5"/>
        <v/>
      </c>
      <c r="R56" s="80" t="str">
        <f t="shared" si="5"/>
        <v/>
      </c>
      <c r="S56" s="80" t="str">
        <f t="shared" si="5"/>
        <v/>
      </c>
      <c r="T56" s="80" t="str">
        <f t="shared" si="5"/>
        <v/>
      </c>
      <c r="U56" s="80" t="str">
        <f t="shared" si="5"/>
        <v/>
      </c>
      <c r="V56" s="80" t="str">
        <f t="shared" si="5"/>
        <v/>
      </c>
      <c r="W56" s="80" t="str">
        <f t="shared" si="5"/>
        <v/>
      </c>
      <c r="X56" s="80" t="str">
        <f t="shared" si="5"/>
        <v/>
      </c>
      <c r="Y56" s="80" t="str">
        <f t="shared" si="5"/>
        <v/>
      </c>
      <c r="Z56" s="80" t="str">
        <f t="shared" si="5"/>
        <v/>
      </c>
      <c r="AA56" s="80" t="str">
        <f t="shared" si="5"/>
        <v/>
      </c>
      <c r="AB56" s="80" t="str">
        <f t="shared" si="5"/>
        <v/>
      </c>
      <c r="AC56" s="87" t="str">
        <f t="shared" si="5"/>
        <v/>
      </c>
    </row>
    <row r="57" spans="1:29" x14ac:dyDescent="0.35">
      <c r="A57"/>
      <c r="B57" s="95"/>
      <c r="D57" s="96"/>
      <c r="F57" s="86" t="str">
        <f t="shared" si="6"/>
        <v/>
      </c>
      <c r="G57" s="80" t="str">
        <f t="shared" si="6"/>
        <v/>
      </c>
      <c r="H57" s="80" t="str">
        <f t="shared" si="6"/>
        <v/>
      </c>
      <c r="I57" s="80" t="str">
        <f t="shared" si="6"/>
        <v/>
      </c>
      <c r="J57" s="80" t="str">
        <f t="shared" si="6"/>
        <v/>
      </c>
      <c r="K57" s="80" t="str">
        <f t="shared" si="6"/>
        <v/>
      </c>
      <c r="L57" s="80" t="str">
        <f t="shared" si="6"/>
        <v/>
      </c>
      <c r="M57" s="80" t="str">
        <f t="shared" si="6"/>
        <v/>
      </c>
      <c r="N57" s="80" t="str">
        <f t="shared" si="6"/>
        <v/>
      </c>
      <c r="O57" s="80" t="str">
        <f t="shared" si="6"/>
        <v/>
      </c>
      <c r="P57" s="80" t="str">
        <f t="shared" si="5"/>
        <v/>
      </c>
      <c r="Q57" s="80" t="str">
        <f t="shared" si="5"/>
        <v/>
      </c>
      <c r="R57" s="80" t="str">
        <f t="shared" si="5"/>
        <v/>
      </c>
      <c r="S57" s="80" t="str">
        <f t="shared" si="5"/>
        <v/>
      </c>
      <c r="T57" s="80" t="str">
        <f t="shared" si="5"/>
        <v/>
      </c>
      <c r="U57" s="80" t="str">
        <f t="shared" si="5"/>
        <v/>
      </c>
      <c r="V57" s="80" t="str">
        <f t="shared" si="5"/>
        <v/>
      </c>
      <c r="W57" s="80" t="str">
        <f t="shared" si="5"/>
        <v/>
      </c>
      <c r="X57" s="80" t="str">
        <f t="shared" si="5"/>
        <v/>
      </c>
      <c r="Y57" s="80" t="str">
        <f t="shared" si="5"/>
        <v/>
      </c>
      <c r="Z57" s="80" t="str">
        <f t="shared" si="5"/>
        <v/>
      </c>
      <c r="AA57" s="80" t="str">
        <f t="shared" si="5"/>
        <v/>
      </c>
      <c r="AB57" s="80" t="str">
        <f t="shared" si="5"/>
        <v/>
      </c>
      <c r="AC57" s="87" t="str">
        <f t="shared" si="5"/>
        <v/>
      </c>
    </row>
    <row r="58" spans="1:29" x14ac:dyDescent="0.35">
      <c r="A58"/>
      <c r="B58" s="95"/>
      <c r="D58" s="96"/>
      <c r="F58" s="86" t="str">
        <f t="shared" si="6"/>
        <v/>
      </c>
      <c r="G58" s="80" t="str">
        <f t="shared" si="6"/>
        <v/>
      </c>
      <c r="H58" s="80" t="str">
        <f t="shared" si="6"/>
        <v/>
      </c>
      <c r="I58" s="80" t="str">
        <f t="shared" si="6"/>
        <v/>
      </c>
      <c r="J58" s="80" t="str">
        <f t="shared" si="6"/>
        <v/>
      </c>
      <c r="K58" s="80" t="str">
        <f t="shared" si="6"/>
        <v/>
      </c>
      <c r="L58" s="80" t="str">
        <f t="shared" si="6"/>
        <v/>
      </c>
      <c r="M58" s="80" t="str">
        <f t="shared" si="6"/>
        <v/>
      </c>
      <c r="N58" s="80" t="str">
        <f t="shared" si="6"/>
        <v/>
      </c>
      <c r="O58" s="80" t="str">
        <f t="shared" si="6"/>
        <v/>
      </c>
      <c r="P58" s="80" t="str">
        <f t="shared" si="5"/>
        <v/>
      </c>
      <c r="Q58" s="80" t="str">
        <f t="shared" si="5"/>
        <v/>
      </c>
      <c r="R58" s="80" t="str">
        <f t="shared" si="5"/>
        <v/>
      </c>
      <c r="S58" s="80" t="str">
        <f t="shared" si="5"/>
        <v/>
      </c>
      <c r="T58" s="80" t="str">
        <f t="shared" si="5"/>
        <v/>
      </c>
      <c r="U58" s="80" t="str">
        <f t="shared" si="5"/>
        <v/>
      </c>
      <c r="V58" s="80" t="str">
        <f t="shared" si="5"/>
        <v/>
      </c>
      <c r="W58" s="80" t="str">
        <f t="shared" si="5"/>
        <v/>
      </c>
      <c r="X58" s="80" t="str">
        <f t="shared" si="5"/>
        <v/>
      </c>
      <c r="Y58" s="80" t="str">
        <f t="shared" si="5"/>
        <v/>
      </c>
      <c r="Z58" s="80" t="str">
        <f t="shared" si="5"/>
        <v/>
      </c>
      <c r="AA58" s="80" t="str">
        <f t="shared" si="5"/>
        <v/>
      </c>
      <c r="AB58" s="80" t="str">
        <f t="shared" si="5"/>
        <v/>
      </c>
      <c r="AC58" s="87" t="str">
        <f t="shared" si="5"/>
        <v/>
      </c>
    </row>
    <row r="59" spans="1:29" x14ac:dyDescent="0.35">
      <c r="A59"/>
      <c r="B59" s="95"/>
      <c r="D59" s="96"/>
      <c r="F59" s="86" t="str">
        <f t="shared" si="6"/>
        <v/>
      </c>
      <c r="G59" s="80" t="str">
        <f t="shared" si="6"/>
        <v/>
      </c>
      <c r="H59" s="80" t="str">
        <f t="shared" si="6"/>
        <v/>
      </c>
      <c r="I59" s="80" t="str">
        <f t="shared" si="6"/>
        <v/>
      </c>
      <c r="J59" s="80" t="str">
        <f t="shared" si="6"/>
        <v/>
      </c>
      <c r="K59" s="80" t="str">
        <f t="shared" si="6"/>
        <v/>
      </c>
      <c r="L59" s="80" t="str">
        <f t="shared" si="6"/>
        <v/>
      </c>
      <c r="M59" s="80" t="str">
        <f t="shared" si="6"/>
        <v/>
      </c>
      <c r="N59" s="80" t="str">
        <f t="shared" si="6"/>
        <v/>
      </c>
      <c r="O59" s="80" t="str">
        <f t="shared" si="6"/>
        <v/>
      </c>
      <c r="P59" s="80" t="str">
        <f t="shared" si="5"/>
        <v/>
      </c>
      <c r="Q59" s="80" t="str">
        <f t="shared" si="5"/>
        <v/>
      </c>
      <c r="R59" s="80" t="str">
        <f t="shared" si="5"/>
        <v/>
      </c>
      <c r="S59" s="80" t="str">
        <f t="shared" si="5"/>
        <v/>
      </c>
      <c r="T59" s="80" t="str">
        <f t="shared" si="5"/>
        <v/>
      </c>
      <c r="U59" s="80" t="str">
        <f t="shared" si="5"/>
        <v/>
      </c>
      <c r="V59" s="80" t="str">
        <f t="shared" si="5"/>
        <v/>
      </c>
      <c r="W59" s="80" t="str">
        <f t="shared" si="5"/>
        <v/>
      </c>
      <c r="X59" s="80" t="str">
        <f t="shared" si="5"/>
        <v/>
      </c>
      <c r="Y59" s="80" t="str">
        <f t="shared" si="5"/>
        <v/>
      </c>
      <c r="Z59" s="80" t="str">
        <f t="shared" si="5"/>
        <v/>
      </c>
      <c r="AA59" s="80" t="str">
        <f t="shared" si="5"/>
        <v/>
      </c>
      <c r="AB59" s="80" t="str">
        <f t="shared" ref="P59:AC78" si="7">IF(AND(AB$6&gt;=$C59, AB$6&lt;=$D59),"1","")</f>
        <v/>
      </c>
      <c r="AC59" s="87" t="str">
        <f t="shared" si="7"/>
        <v/>
      </c>
    </row>
    <row r="60" spans="1:29" x14ac:dyDescent="0.35">
      <c r="A60"/>
      <c r="B60" s="95"/>
      <c r="D60" s="96"/>
      <c r="F60" s="86" t="str">
        <f t="shared" si="6"/>
        <v/>
      </c>
      <c r="G60" s="80" t="str">
        <f t="shared" si="6"/>
        <v/>
      </c>
      <c r="H60" s="80" t="str">
        <f t="shared" si="6"/>
        <v/>
      </c>
      <c r="I60" s="80" t="str">
        <f t="shared" si="6"/>
        <v/>
      </c>
      <c r="J60" s="80" t="str">
        <f t="shared" si="6"/>
        <v/>
      </c>
      <c r="K60" s="80" t="str">
        <f t="shared" si="6"/>
        <v/>
      </c>
      <c r="L60" s="80" t="str">
        <f t="shared" si="6"/>
        <v/>
      </c>
      <c r="M60" s="80" t="str">
        <f t="shared" si="6"/>
        <v/>
      </c>
      <c r="N60" s="80" t="str">
        <f t="shared" si="6"/>
        <v/>
      </c>
      <c r="O60" s="80" t="str">
        <f t="shared" si="6"/>
        <v/>
      </c>
      <c r="P60" s="80" t="str">
        <f t="shared" si="7"/>
        <v/>
      </c>
      <c r="Q60" s="80" t="str">
        <f t="shared" si="7"/>
        <v/>
      </c>
      <c r="R60" s="80" t="str">
        <f t="shared" si="7"/>
        <v/>
      </c>
      <c r="S60" s="80" t="str">
        <f t="shared" si="7"/>
        <v/>
      </c>
      <c r="T60" s="80" t="str">
        <f t="shared" si="7"/>
        <v/>
      </c>
      <c r="U60" s="80" t="str">
        <f t="shared" si="7"/>
        <v/>
      </c>
      <c r="V60" s="80" t="str">
        <f t="shared" si="7"/>
        <v/>
      </c>
      <c r="W60" s="80" t="str">
        <f t="shared" si="7"/>
        <v/>
      </c>
      <c r="X60" s="80" t="str">
        <f t="shared" si="7"/>
        <v/>
      </c>
      <c r="Y60" s="80" t="str">
        <f t="shared" si="7"/>
        <v/>
      </c>
      <c r="Z60" s="80" t="str">
        <f t="shared" si="7"/>
        <v/>
      </c>
      <c r="AA60" s="80" t="str">
        <f t="shared" si="7"/>
        <v/>
      </c>
      <c r="AB60" s="80" t="str">
        <f t="shared" si="7"/>
        <v/>
      </c>
      <c r="AC60" s="87" t="str">
        <f t="shared" si="7"/>
        <v/>
      </c>
    </row>
    <row r="61" spans="1:29" x14ac:dyDescent="0.35">
      <c r="A61"/>
      <c r="B61" s="95"/>
      <c r="D61" s="96"/>
      <c r="F61" s="86" t="str">
        <f t="shared" si="6"/>
        <v/>
      </c>
      <c r="G61" s="80" t="str">
        <f t="shared" si="6"/>
        <v/>
      </c>
      <c r="H61" s="80" t="str">
        <f t="shared" si="6"/>
        <v/>
      </c>
      <c r="I61" s="80" t="str">
        <f t="shared" si="6"/>
        <v/>
      </c>
      <c r="J61" s="80" t="str">
        <f t="shared" si="6"/>
        <v/>
      </c>
      <c r="K61" s="80" t="str">
        <f t="shared" si="6"/>
        <v/>
      </c>
      <c r="L61" s="80" t="str">
        <f t="shared" si="6"/>
        <v/>
      </c>
      <c r="M61" s="80" t="str">
        <f t="shared" si="6"/>
        <v/>
      </c>
      <c r="N61" s="80" t="str">
        <f t="shared" si="6"/>
        <v/>
      </c>
      <c r="O61" s="80" t="str">
        <f t="shared" si="6"/>
        <v/>
      </c>
      <c r="P61" s="80" t="str">
        <f t="shared" si="7"/>
        <v/>
      </c>
      <c r="Q61" s="80" t="str">
        <f t="shared" si="7"/>
        <v/>
      </c>
      <c r="R61" s="80" t="str">
        <f t="shared" si="7"/>
        <v/>
      </c>
      <c r="S61" s="80" t="str">
        <f t="shared" si="7"/>
        <v/>
      </c>
      <c r="T61" s="80" t="str">
        <f t="shared" si="7"/>
        <v/>
      </c>
      <c r="U61" s="80" t="str">
        <f t="shared" si="7"/>
        <v/>
      </c>
      <c r="V61" s="80" t="str">
        <f t="shared" si="7"/>
        <v/>
      </c>
      <c r="W61" s="80" t="str">
        <f t="shared" si="7"/>
        <v/>
      </c>
      <c r="X61" s="80" t="str">
        <f t="shared" si="7"/>
        <v/>
      </c>
      <c r="Y61" s="80" t="str">
        <f t="shared" si="7"/>
        <v/>
      </c>
      <c r="Z61" s="80" t="str">
        <f t="shared" si="7"/>
        <v/>
      </c>
      <c r="AA61" s="80" t="str">
        <f t="shared" si="7"/>
        <v/>
      </c>
      <c r="AB61" s="80" t="str">
        <f t="shared" si="7"/>
        <v/>
      </c>
      <c r="AC61" s="87" t="str">
        <f t="shared" si="7"/>
        <v/>
      </c>
    </row>
    <row r="62" spans="1:29" x14ac:dyDescent="0.35">
      <c r="A62"/>
      <c r="B62" s="95"/>
      <c r="D62" s="96"/>
      <c r="F62" s="86" t="str">
        <f t="shared" si="6"/>
        <v/>
      </c>
      <c r="G62" s="80" t="str">
        <f t="shared" si="6"/>
        <v/>
      </c>
      <c r="H62" s="80" t="str">
        <f t="shared" si="6"/>
        <v/>
      </c>
      <c r="I62" s="80" t="str">
        <f t="shared" si="6"/>
        <v/>
      </c>
      <c r="J62" s="80" t="str">
        <f t="shared" si="6"/>
        <v/>
      </c>
      <c r="K62" s="80" t="str">
        <f t="shared" si="6"/>
        <v/>
      </c>
      <c r="L62" s="80" t="str">
        <f t="shared" si="6"/>
        <v/>
      </c>
      <c r="M62" s="80" t="str">
        <f t="shared" si="6"/>
        <v/>
      </c>
      <c r="N62" s="80" t="str">
        <f t="shared" si="6"/>
        <v/>
      </c>
      <c r="O62" s="80" t="str">
        <f t="shared" si="6"/>
        <v/>
      </c>
      <c r="P62" s="80" t="str">
        <f t="shared" si="7"/>
        <v/>
      </c>
      <c r="Q62" s="80" t="str">
        <f t="shared" si="7"/>
        <v/>
      </c>
      <c r="R62" s="80" t="str">
        <f t="shared" si="7"/>
        <v/>
      </c>
      <c r="S62" s="80" t="str">
        <f t="shared" si="7"/>
        <v/>
      </c>
      <c r="T62" s="80" t="str">
        <f t="shared" si="7"/>
        <v/>
      </c>
      <c r="U62" s="80" t="str">
        <f t="shared" si="7"/>
        <v/>
      </c>
      <c r="V62" s="80" t="str">
        <f t="shared" si="7"/>
        <v/>
      </c>
      <c r="W62" s="80" t="str">
        <f t="shared" si="7"/>
        <v/>
      </c>
      <c r="X62" s="80" t="str">
        <f t="shared" si="7"/>
        <v/>
      </c>
      <c r="Y62" s="80" t="str">
        <f t="shared" si="7"/>
        <v/>
      </c>
      <c r="Z62" s="80" t="str">
        <f t="shared" si="7"/>
        <v/>
      </c>
      <c r="AA62" s="80" t="str">
        <f t="shared" si="7"/>
        <v/>
      </c>
      <c r="AB62" s="80" t="str">
        <f t="shared" si="7"/>
        <v/>
      </c>
      <c r="AC62" s="87" t="str">
        <f t="shared" si="7"/>
        <v/>
      </c>
    </row>
    <row r="63" spans="1:29" x14ac:dyDescent="0.35">
      <c r="A63"/>
      <c r="B63" s="95"/>
      <c r="D63" s="96"/>
      <c r="F63" s="86" t="str">
        <f t="shared" si="6"/>
        <v/>
      </c>
      <c r="G63" s="80" t="str">
        <f t="shared" si="6"/>
        <v/>
      </c>
      <c r="H63" s="80" t="str">
        <f t="shared" si="6"/>
        <v/>
      </c>
      <c r="I63" s="80" t="str">
        <f t="shared" si="6"/>
        <v/>
      </c>
      <c r="J63" s="80" t="str">
        <f t="shared" si="6"/>
        <v/>
      </c>
      <c r="K63" s="80" t="str">
        <f t="shared" si="6"/>
        <v/>
      </c>
      <c r="L63" s="80" t="str">
        <f t="shared" si="6"/>
        <v/>
      </c>
      <c r="M63" s="80" t="str">
        <f t="shared" si="6"/>
        <v/>
      </c>
      <c r="N63" s="80" t="str">
        <f t="shared" si="6"/>
        <v/>
      </c>
      <c r="O63" s="80" t="str">
        <f t="shared" si="6"/>
        <v/>
      </c>
      <c r="P63" s="80" t="str">
        <f t="shared" si="7"/>
        <v/>
      </c>
      <c r="Q63" s="80" t="str">
        <f t="shared" si="7"/>
        <v/>
      </c>
      <c r="R63" s="80" t="str">
        <f t="shared" si="7"/>
        <v/>
      </c>
      <c r="S63" s="80" t="str">
        <f t="shared" si="7"/>
        <v/>
      </c>
      <c r="T63" s="80" t="str">
        <f t="shared" si="7"/>
        <v/>
      </c>
      <c r="U63" s="80" t="str">
        <f t="shared" si="7"/>
        <v/>
      </c>
      <c r="V63" s="80" t="str">
        <f t="shared" si="7"/>
        <v/>
      </c>
      <c r="W63" s="80" t="str">
        <f t="shared" si="7"/>
        <v/>
      </c>
      <c r="X63" s="80" t="str">
        <f t="shared" si="7"/>
        <v/>
      </c>
      <c r="Y63" s="80" t="str">
        <f t="shared" si="7"/>
        <v/>
      </c>
      <c r="Z63" s="80" t="str">
        <f t="shared" si="7"/>
        <v/>
      </c>
      <c r="AA63" s="80" t="str">
        <f t="shared" si="7"/>
        <v/>
      </c>
      <c r="AB63" s="80" t="str">
        <f t="shared" si="7"/>
        <v/>
      </c>
      <c r="AC63" s="87" t="str">
        <f t="shared" si="7"/>
        <v/>
      </c>
    </row>
    <row r="64" spans="1:29" x14ac:dyDescent="0.35">
      <c r="A64"/>
      <c r="B64" s="95"/>
      <c r="D64" s="96"/>
      <c r="F64" s="86" t="str">
        <f t="shared" si="6"/>
        <v/>
      </c>
      <c r="G64" s="80" t="str">
        <f t="shared" si="6"/>
        <v/>
      </c>
      <c r="H64" s="80" t="str">
        <f t="shared" si="6"/>
        <v/>
      </c>
      <c r="I64" s="80" t="str">
        <f t="shared" si="6"/>
        <v/>
      </c>
      <c r="J64" s="80" t="str">
        <f t="shared" si="6"/>
        <v/>
      </c>
      <c r="K64" s="80" t="str">
        <f t="shared" si="6"/>
        <v/>
      </c>
      <c r="L64" s="80" t="str">
        <f t="shared" si="6"/>
        <v/>
      </c>
      <c r="M64" s="80" t="str">
        <f t="shared" si="6"/>
        <v/>
      </c>
      <c r="N64" s="80" t="str">
        <f t="shared" si="6"/>
        <v/>
      </c>
      <c r="O64" s="80" t="str">
        <f t="shared" si="6"/>
        <v/>
      </c>
      <c r="P64" s="80" t="str">
        <f t="shared" si="7"/>
        <v/>
      </c>
      <c r="Q64" s="80" t="str">
        <f t="shared" si="7"/>
        <v/>
      </c>
      <c r="R64" s="80" t="str">
        <f t="shared" si="7"/>
        <v/>
      </c>
      <c r="S64" s="80" t="str">
        <f t="shared" si="7"/>
        <v/>
      </c>
      <c r="T64" s="80" t="str">
        <f t="shared" si="7"/>
        <v/>
      </c>
      <c r="U64" s="80" t="str">
        <f t="shared" si="7"/>
        <v/>
      </c>
      <c r="V64" s="80" t="str">
        <f t="shared" si="7"/>
        <v/>
      </c>
      <c r="W64" s="80" t="str">
        <f t="shared" si="7"/>
        <v/>
      </c>
      <c r="X64" s="80" t="str">
        <f t="shared" si="7"/>
        <v/>
      </c>
      <c r="Y64" s="80" t="str">
        <f t="shared" si="7"/>
        <v/>
      </c>
      <c r="Z64" s="80" t="str">
        <f t="shared" si="7"/>
        <v/>
      </c>
      <c r="AA64" s="80" t="str">
        <f t="shared" si="7"/>
        <v/>
      </c>
      <c r="AB64" s="80" t="str">
        <f t="shared" si="7"/>
        <v/>
      </c>
      <c r="AC64" s="87" t="str">
        <f t="shared" si="7"/>
        <v/>
      </c>
    </row>
    <row r="65" spans="1:29" x14ac:dyDescent="0.35">
      <c r="A65"/>
      <c r="B65" s="95"/>
      <c r="D65" s="96"/>
      <c r="F65" s="86" t="str">
        <f t="shared" si="6"/>
        <v/>
      </c>
      <c r="G65" s="80" t="str">
        <f t="shared" si="6"/>
        <v/>
      </c>
      <c r="H65" s="80" t="str">
        <f t="shared" si="6"/>
        <v/>
      </c>
      <c r="I65" s="80" t="str">
        <f t="shared" si="6"/>
        <v/>
      </c>
      <c r="J65" s="80" t="str">
        <f t="shared" si="6"/>
        <v/>
      </c>
      <c r="K65" s="80" t="str">
        <f t="shared" si="6"/>
        <v/>
      </c>
      <c r="L65" s="80" t="str">
        <f t="shared" si="6"/>
        <v/>
      </c>
      <c r="M65" s="80" t="str">
        <f t="shared" si="6"/>
        <v/>
      </c>
      <c r="N65" s="80" t="str">
        <f t="shared" si="6"/>
        <v/>
      </c>
      <c r="O65" s="80" t="str">
        <f t="shared" si="6"/>
        <v/>
      </c>
      <c r="P65" s="80" t="str">
        <f t="shared" si="7"/>
        <v/>
      </c>
      <c r="Q65" s="80" t="str">
        <f t="shared" si="7"/>
        <v/>
      </c>
      <c r="R65" s="80" t="str">
        <f t="shared" si="7"/>
        <v/>
      </c>
      <c r="S65" s="80" t="str">
        <f t="shared" si="7"/>
        <v/>
      </c>
      <c r="T65" s="80" t="str">
        <f t="shared" si="7"/>
        <v/>
      </c>
      <c r="U65" s="80" t="str">
        <f t="shared" si="7"/>
        <v/>
      </c>
      <c r="V65" s="80" t="str">
        <f t="shared" si="7"/>
        <v/>
      </c>
      <c r="W65" s="80" t="str">
        <f t="shared" si="7"/>
        <v/>
      </c>
      <c r="X65" s="80" t="str">
        <f t="shared" si="7"/>
        <v/>
      </c>
      <c r="Y65" s="80" t="str">
        <f t="shared" si="7"/>
        <v/>
      </c>
      <c r="Z65" s="80" t="str">
        <f t="shared" si="7"/>
        <v/>
      </c>
      <c r="AA65" s="80" t="str">
        <f t="shared" si="7"/>
        <v/>
      </c>
      <c r="AB65" s="80" t="str">
        <f t="shared" si="7"/>
        <v/>
      </c>
      <c r="AC65" s="87" t="str">
        <f t="shared" si="7"/>
        <v/>
      </c>
    </row>
    <row r="66" spans="1:29" x14ac:dyDescent="0.35">
      <c r="A66"/>
      <c r="B66" s="95"/>
      <c r="D66" s="96"/>
      <c r="F66" s="86" t="str">
        <f t="shared" si="6"/>
        <v/>
      </c>
      <c r="G66" s="80" t="str">
        <f t="shared" si="6"/>
        <v/>
      </c>
      <c r="H66" s="80" t="str">
        <f t="shared" si="6"/>
        <v/>
      </c>
      <c r="I66" s="80" t="str">
        <f t="shared" si="6"/>
        <v/>
      </c>
      <c r="J66" s="80" t="str">
        <f t="shared" si="6"/>
        <v/>
      </c>
      <c r="K66" s="80" t="str">
        <f t="shared" si="6"/>
        <v/>
      </c>
      <c r="L66" s="80" t="str">
        <f t="shared" si="6"/>
        <v/>
      </c>
      <c r="M66" s="80" t="str">
        <f t="shared" si="6"/>
        <v/>
      </c>
      <c r="N66" s="80" t="str">
        <f t="shared" si="6"/>
        <v/>
      </c>
      <c r="O66" s="80" t="str">
        <f t="shared" si="6"/>
        <v/>
      </c>
      <c r="P66" s="80" t="str">
        <f t="shared" si="7"/>
        <v/>
      </c>
      <c r="Q66" s="80" t="str">
        <f t="shared" si="7"/>
        <v/>
      </c>
      <c r="R66" s="80" t="str">
        <f t="shared" si="7"/>
        <v/>
      </c>
      <c r="S66" s="80" t="str">
        <f t="shared" si="7"/>
        <v/>
      </c>
      <c r="T66" s="80" t="str">
        <f t="shared" si="7"/>
        <v/>
      </c>
      <c r="U66" s="80" t="str">
        <f t="shared" si="7"/>
        <v/>
      </c>
      <c r="V66" s="80" t="str">
        <f t="shared" si="7"/>
        <v/>
      </c>
      <c r="W66" s="80" t="str">
        <f t="shared" si="7"/>
        <v/>
      </c>
      <c r="X66" s="80" t="str">
        <f t="shared" si="7"/>
        <v/>
      </c>
      <c r="Y66" s="80" t="str">
        <f t="shared" si="7"/>
        <v/>
      </c>
      <c r="Z66" s="80" t="str">
        <f t="shared" si="7"/>
        <v/>
      </c>
      <c r="AA66" s="80" t="str">
        <f t="shared" si="7"/>
        <v/>
      </c>
      <c r="AB66" s="80" t="str">
        <f t="shared" si="7"/>
        <v/>
      </c>
      <c r="AC66" s="87" t="str">
        <f t="shared" si="7"/>
        <v/>
      </c>
    </row>
    <row r="67" spans="1:29" x14ac:dyDescent="0.35">
      <c r="A67"/>
      <c r="B67" s="95"/>
      <c r="D67" s="96"/>
      <c r="F67" s="86" t="str">
        <f t="shared" si="6"/>
        <v/>
      </c>
      <c r="G67" s="80" t="str">
        <f t="shared" si="6"/>
        <v/>
      </c>
      <c r="H67" s="80" t="str">
        <f t="shared" si="6"/>
        <v/>
      </c>
      <c r="I67" s="80" t="str">
        <f t="shared" si="6"/>
        <v/>
      </c>
      <c r="J67" s="80" t="str">
        <f t="shared" si="6"/>
        <v/>
      </c>
      <c r="K67" s="80" t="str">
        <f t="shared" si="6"/>
        <v/>
      </c>
      <c r="L67" s="80" t="str">
        <f t="shared" si="6"/>
        <v/>
      </c>
      <c r="M67" s="80" t="str">
        <f t="shared" si="6"/>
        <v/>
      </c>
      <c r="N67" s="80" t="str">
        <f t="shared" si="6"/>
        <v/>
      </c>
      <c r="O67" s="80" t="str">
        <f t="shared" si="6"/>
        <v/>
      </c>
      <c r="P67" s="80" t="str">
        <f t="shared" si="7"/>
        <v/>
      </c>
      <c r="Q67" s="80" t="str">
        <f t="shared" si="7"/>
        <v/>
      </c>
      <c r="R67" s="80" t="str">
        <f t="shared" si="7"/>
        <v/>
      </c>
      <c r="S67" s="80" t="str">
        <f t="shared" si="7"/>
        <v/>
      </c>
      <c r="T67" s="80" t="str">
        <f t="shared" si="7"/>
        <v/>
      </c>
      <c r="U67" s="80" t="str">
        <f t="shared" si="7"/>
        <v/>
      </c>
      <c r="V67" s="80" t="str">
        <f t="shared" si="7"/>
        <v/>
      </c>
      <c r="W67" s="80" t="str">
        <f t="shared" si="7"/>
        <v/>
      </c>
      <c r="X67" s="80" t="str">
        <f t="shared" si="7"/>
        <v/>
      </c>
      <c r="Y67" s="80" t="str">
        <f t="shared" si="7"/>
        <v/>
      </c>
      <c r="Z67" s="80" t="str">
        <f t="shared" si="7"/>
        <v/>
      </c>
      <c r="AA67" s="80" t="str">
        <f t="shared" si="7"/>
        <v/>
      </c>
      <c r="AB67" s="80" t="str">
        <f t="shared" si="7"/>
        <v/>
      </c>
      <c r="AC67" s="87" t="str">
        <f t="shared" si="7"/>
        <v/>
      </c>
    </row>
    <row r="68" spans="1:29" x14ac:dyDescent="0.35">
      <c r="A68"/>
      <c r="B68" s="95"/>
      <c r="D68" s="96"/>
      <c r="F68" s="86" t="str">
        <f t="shared" si="6"/>
        <v/>
      </c>
      <c r="G68" s="80" t="str">
        <f t="shared" si="6"/>
        <v/>
      </c>
      <c r="H68" s="80" t="str">
        <f t="shared" si="6"/>
        <v/>
      </c>
      <c r="I68" s="80" t="str">
        <f t="shared" si="6"/>
        <v/>
      </c>
      <c r="J68" s="80" t="str">
        <f t="shared" si="6"/>
        <v/>
      </c>
      <c r="K68" s="80" t="str">
        <f t="shared" si="6"/>
        <v/>
      </c>
      <c r="L68" s="80" t="str">
        <f t="shared" si="6"/>
        <v/>
      </c>
      <c r="M68" s="80" t="str">
        <f t="shared" si="6"/>
        <v/>
      </c>
      <c r="N68" s="80" t="str">
        <f t="shared" si="6"/>
        <v/>
      </c>
      <c r="O68" s="80" t="str">
        <f t="shared" si="6"/>
        <v/>
      </c>
      <c r="P68" s="80" t="str">
        <f t="shared" si="7"/>
        <v/>
      </c>
      <c r="Q68" s="80" t="str">
        <f t="shared" si="7"/>
        <v/>
      </c>
      <c r="R68" s="80" t="str">
        <f t="shared" si="7"/>
        <v/>
      </c>
      <c r="S68" s="80" t="str">
        <f t="shared" si="7"/>
        <v/>
      </c>
      <c r="T68" s="80" t="str">
        <f t="shared" si="7"/>
        <v/>
      </c>
      <c r="U68" s="80" t="str">
        <f t="shared" si="7"/>
        <v/>
      </c>
      <c r="V68" s="80" t="str">
        <f t="shared" si="7"/>
        <v/>
      </c>
      <c r="W68" s="80" t="str">
        <f t="shared" si="7"/>
        <v/>
      </c>
      <c r="X68" s="80" t="str">
        <f t="shared" si="7"/>
        <v/>
      </c>
      <c r="Y68" s="80" t="str">
        <f t="shared" si="7"/>
        <v/>
      </c>
      <c r="Z68" s="80" t="str">
        <f t="shared" si="7"/>
        <v/>
      </c>
      <c r="AA68" s="80" t="str">
        <f t="shared" si="7"/>
        <v/>
      </c>
      <c r="AB68" s="80" t="str">
        <f t="shared" si="7"/>
        <v/>
      </c>
      <c r="AC68" s="87" t="str">
        <f t="shared" si="7"/>
        <v/>
      </c>
    </row>
    <row r="69" spans="1:29" x14ac:dyDescent="0.35">
      <c r="A69"/>
      <c r="B69" s="95"/>
      <c r="D69" s="96"/>
      <c r="F69" s="86" t="str">
        <f t="shared" si="6"/>
        <v/>
      </c>
      <c r="G69" s="80" t="str">
        <f t="shared" si="6"/>
        <v/>
      </c>
      <c r="H69" s="80" t="str">
        <f t="shared" si="6"/>
        <v/>
      </c>
      <c r="I69" s="80" t="str">
        <f t="shared" si="6"/>
        <v/>
      </c>
      <c r="J69" s="80" t="str">
        <f t="shared" si="6"/>
        <v/>
      </c>
      <c r="K69" s="80" t="str">
        <f t="shared" si="6"/>
        <v/>
      </c>
      <c r="L69" s="80" t="str">
        <f t="shared" si="6"/>
        <v/>
      </c>
      <c r="M69" s="80" t="str">
        <f t="shared" si="6"/>
        <v/>
      </c>
      <c r="N69" s="80" t="str">
        <f t="shared" si="6"/>
        <v/>
      </c>
      <c r="O69" s="80" t="str">
        <f t="shared" si="6"/>
        <v/>
      </c>
      <c r="P69" s="80" t="str">
        <f t="shared" si="7"/>
        <v/>
      </c>
      <c r="Q69" s="80" t="str">
        <f t="shared" si="7"/>
        <v/>
      </c>
      <c r="R69" s="80" t="str">
        <f t="shared" si="7"/>
        <v/>
      </c>
      <c r="S69" s="80" t="str">
        <f t="shared" si="7"/>
        <v/>
      </c>
      <c r="T69" s="80" t="str">
        <f t="shared" si="7"/>
        <v/>
      </c>
      <c r="U69" s="80" t="str">
        <f t="shared" si="7"/>
        <v/>
      </c>
      <c r="V69" s="80" t="str">
        <f t="shared" si="7"/>
        <v/>
      </c>
      <c r="W69" s="80" t="str">
        <f t="shared" si="7"/>
        <v/>
      </c>
      <c r="X69" s="80" t="str">
        <f t="shared" si="7"/>
        <v/>
      </c>
      <c r="Y69" s="80" t="str">
        <f t="shared" si="7"/>
        <v/>
      </c>
      <c r="Z69" s="80" t="str">
        <f t="shared" si="7"/>
        <v/>
      </c>
      <c r="AA69" s="80" t="str">
        <f t="shared" si="7"/>
        <v/>
      </c>
      <c r="AB69" s="80" t="str">
        <f t="shared" si="7"/>
        <v/>
      </c>
      <c r="AC69" s="87" t="str">
        <f t="shared" si="7"/>
        <v/>
      </c>
    </row>
    <row r="70" spans="1:29" x14ac:dyDescent="0.35">
      <c r="A70"/>
      <c r="B70" s="95"/>
      <c r="D70" s="96"/>
      <c r="F70" s="86" t="str">
        <f t="shared" si="6"/>
        <v/>
      </c>
      <c r="G70" s="80" t="str">
        <f t="shared" si="6"/>
        <v/>
      </c>
      <c r="H70" s="80" t="str">
        <f t="shared" si="6"/>
        <v/>
      </c>
      <c r="I70" s="80" t="str">
        <f t="shared" si="6"/>
        <v/>
      </c>
      <c r="J70" s="80" t="str">
        <f t="shared" si="6"/>
        <v/>
      </c>
      <c r="K70" s="80" t="str">
        <f t="shared" si="6"/>
        <v/>
      </c>
      <c r="L70" s="80" t="str">
        <f t="shared" si="6"/>
        <v/>
      </c>
      <c r="M70" s="80" t="str">
        <f t="shared" si="6"/>
        <v/>
      </c>
      <c r="N70" s="80" t="str">
        <f t="shared" si="6"/>
        <v/>
      </c>
      <c r="O70" s="80" t="str">
        <f t="shared" si="6"/>
        <v/>
      </c>
      <c r="P70" s="80" t="str">
        <f t="shared" si="7"/>
        <v/>
      </c>
      <c r="Q70" s="80" t="str">
        <f t="shared" si="7"/>
        <v/>
      </c>
      <c r="R70" s="80" t="str">
        <f t="shared" si="7"/>
        <v/>
      </c>
      <c r="S70" s="80" t="str">
        <f t="shared" si="7"/>
        <v/>
      </c>
      <c r="T70" s="80" t="str">
        <f t="shared" si="7"/>
        <v/>
      </c>
      <c r="U70" s="80" t="str">
        <f t="shared" si="7"/>
        <v/>
      </c>
      <c r="V70" s="80" t="str">
        <f t="shared" si="7"/>
        <v/>
      </c>
      <c r="W70" s="80" t="str">
        <f t="shared" si="7"/>
        <v/>
      </c>
      <c r="X70" s="80" t="str">
        <f t="shared" si="7"/>
        <v/>
      </c>
      <c r="Y70" s="80" t="str">
        <f t="shared" si="7"/>
        <v/>
      </c>
      <c r="Z70" s="80" t="str">
        <f t="shared" si="7"/>
        <v/>
      </c>
      <c r="AA70" s="80" t="str">
        <f t="shared" si="7"/>
        <v/>
      </c>
      <c r="AB70" s="80" t="str">
        <f t="shared" si="7"/>
        <v/>
      </c>
      <c r="AC70" s="87" t="str">
        <f t="shared" si="7"/>
        <v/>
      </c>
    </row>
    <row r="71" spans="1:29" x14ac:dyDescent="0.35">
      <c r="A71"/>
      <c r="B71" s="95"/>
      <c r="D71" s="96"/>
      <c r="F71" s="86" t="str">
        <f t="shared" si="6"/>
        <v/>
      </c>
      <c r="G71" s="80" t="str">
        <f t="shared" si="6"/>
        <v/>
      </c>
      <c r="H71" s="80" t="str">
        <f t="shared" si="6"/>
        <v/>
      </c>
      <c r="I71" s="80" t="str">
        <f t="shared" si="6"/>
        <v/>
      </c>
      <c r="J71" s="80" t="str">
        <f t="shared" si="6"/>
        <v/>
      </c>
      <c r="K71" s="80" t="str">
        <f t="shared" si="6"/>
        <v/>
      </c>
      <c r="L71" s="80" t="str">
        <f t="shared" si="6"/>
        <v/>
      </c>
      <c r="M71" s="80" t="str">
        <f t="shared" si="6"/>
        <v/>
      </c>
      <c r="N71" s="80" t="str">
        <f t="shared" si="6"/>
        <v/>
      </c>
      <c r="O71" s="80" t="str">
        <f t="shared" si="6"/>
        <v/>
      </c>
      <c r="P71" s="80" t="str">
        <f t="shared" si="7"/>
        <v/>
      </c>
      <c r="Q71" s="80" t="str">
        <f t="shared" si="7"/>
        <v/>
      </c>
      <c r="R71" s="80" t="str">
        <f t="shared" si="7"/>
        <v/>
      </c>
      <c r="S71" s="80" t="str">
        <f t="shared" si="7"/>
        <v/>
      </c>
      <c r="T71" s="80" t="str">
        <f t="shared" si="7"/>
        <v/>
      </c>
      <c r="U71" s="80" t="str">
        <f t="shared" si="7"/>
        <v/>
      </c>
      <c r="V71" s="80" t="str">
        <f t="shared" si="7"/>
        <v/>
      </c>
      <c r="W71" s="80" t="str">
        <f t="shared" si="7"/>
        <v/>
      </c>
      <c r="X71" s="80" t="str">
        <f t="shared" si="7"/>
        <v/>
      </c>
      <c r="Y71" s="80" t="str">
        <f t="shared" si="7"/>
        <v/>
      </c>
      <c r="Z71" s="80" t="str">
        <f t="shared" si="7"/>
        <v/>
      </c>
      <c r="AA71" s="80" t="str">
        <f t="shared" si="7"/>
        <v/>
      </c>
      <c r="AB71" s="80" t="str">
        <f t="shared" si="7"/>
        <v/>
      </c>
      <c r="AC71" s="87" t="str">
        <f t="shared" si="7"/>
        <v/>
      </c>
    </row>
    <row r="72" spans="1:29" x14ac:dyDescent="0.35">
      <c r="A72"/>
      <c r="B72" s="95"/>
      <c r="D72" s="96"/>
      <c r="F72" s="86" t="str">
        <f t="shared" si="6"/>
        <v/>
      </c>
      <c r="G72" s="80" t="str">
        <f t="shared" si="6"/>
        <v/>
      </c>
      <c r="H72" s="80" t="str">
        <f t="shared" si="6"/>
        <v/>
      </c>
      <c r="I72" s="80" t="str">
        <f t="shared" si="6"/>
        <v/>
      </c>
      <c r="J72" s="80" t="str">
        <f t="shared" si="6"/>
        <v/>
      </c>
      <c r="K72" s="80" t="str">
        <f t="shared" si="6"/>
        <v/>
      </c>
      <c r="L72" s="80" t="str">
        <f t="shared" si="6"/>
        <v/>
      </c>
      <c r="M72" s="80" t="str">
        <f t="shared" si="6"/>
        <v/>
      </c>
      <c r="N72" s="80" t="str">
        <f t="shared" si="6"/>
        <v/>
      </c>
      <c r="O72" s="80" t="str">
        <f t="shared" si="6"/>
        <v/>
      </c>
      <c r="P72" s="80" t="str">
        <f t="shared" si="7"/>
        <v/>
      </c>
      <c r="Q72" s="80" t="str">
        <f t="shared" si="7"/>
        <v/>
      </c>
      <c r="R72" s="80" t="str">
        <f t="shared" si="7"/>
        <v/>
      </c>
      <c r="S72" s="80" t="str">
        <f t="shared" si="7"/>
        <v/>
      </c>
      <c r="T72" s="80" t="str">
        <f t="shared" si="7"/>
        <v/>
      </c>
      <c r="U72" s="80" t="str">
        <f t="shared" si="7"/>
        <v/>
      </c>
      <c r="V72" s="80" t="str">
        <f t="shared" si="7"/>
        <v/>
      </c>
      <c r="W72" s="80" t="str">
        <f t="shared" si="7"/>
        <v/>
      </c>
      <c r="X72" s="80" t="str">
        <f t="shared" si="7"/>
        <v/>
      </c>
      <c r="Y72" s="80" t="str">
        <f t="shared" si="7"/>
        <v/>
      </c>
      <c r="Z72" s="80" t="str">
        <f t="shared" si="7"/>
        <v/>
      </c>
      <c r="AA72" s="80" t="str">
        <f t="shared" si="7"/>
        <v/>
      </c>
      <c r="AB72" s="80" t="str">
        <f t="shared" si="7"/>
        <v/>
      </c>
      <c r="AC72" s="87" t="str">
        <f t="shared" si="7"/>
        <v/>
      </c>
    </row>
    <row r="73" spans="1:29" x14ac:dyDescent="0.35">
      <c r="A73"/>
      <c r="B73" s="95"/>
      <c r="D73" s="96"/>
      <c r="F73" s="86" t="str">
        <f t="shared" si="6"/>
        <v/>
      </c>
      <c r="G73" s="80" t="str">
        <f t="shared" si="6"/>
        <v/>
      </c>
      <c r="H73" s="80" t="str">
        <f t="shared" si="6"/>
        <v/>
      </c>
      <c r="I73" s="80" t="str">
        <f t="shared" si="6"/>
        <v/>
      </c>
      <c r="J73" s="80" t="str">
        <f t="shared" ref="F73:O98" si="8">IF(AND(J$6&gt;=$C73, J$6&lt;=$D73),"1","")</f>
        <v/>
      </c>
      <c r="K73" s="80" t="str">
        <f t="shared" si="8"/>
        <v/>
      </c>
      <c r="L73" s="80" t="str">
        <f t="shared" si="8"/>
        <v/>
      </c>
      <c r="M73" s="80" t="str">
        <f t="shared" si="8"/>
        <v/>
      </c>
      <c r="N73" s="80" t="str">
        <f t="shared" si="8"/>
        <v/>
      </c>
      <c r="O73" s="80" t="str">
        <f t="shared" si="8"/>
        <v/>
      </c>
      <c r="P73" s="80" t="str">
        <f t="shared" si="7"/>
        <v/>
      </c>
      <c r="Q73" s="80" t="str">
        <f t="shared" si="7"/>
        <v/>
      </c>
      <c r="R73" s="80" t="str">
        <f t="shared" si="7"/>
        <v/>
      </c>
      <c r="S73" s="80" t="str">
        <f t="shared" si="7"/>
        <v/>
      </c>
      <c r="T73" s="80" t="str">
        <f t="shared" si="7"/>
        <v/>
      </c>
      <c r="U73" s="80" t="str">
        <f t="shared" si="7"/>
        <v/>
      </c>
      <c r="V73" s="80" t="str">
        <f t="shared" si="7"/>
        <v/>
      </c>
      <c r="W73" s="80" t="str">
        <f t="shared" si="7"/>
        <v/>
      </c>
      <c r="X73" s="80" t="str">
        <f t="shared" si="7"/>
        <v/>
      </c>
      <c r="Y73" s="80" t="str">
        <f t="shared" si="7"/>
        <v/>
      </c>
      <c r="Z73" s="80" t="str">
        <f t="shared" si="7"/>
        <v/>
      </c>
      <c r="AA73" s="80" t="str">
        <f t="shared" si="7"/>
        <v/>
      </c>
      <c r="AB73" s="80" t="str">
        <f t="shared" si="7"/>
        <v/>
      </c>
      <c r="AC73" s="87" t="str">
        <f t="shared" si="7"/>
        <v/>
      </c>
    </row>
    <row r="74" spans="1:29" x14ac:dyDescent="0.35">
      <c r="A74"/>
      <c r="B74" s="95"/>
      <c r="D74" s="96"/>
      <c r="F74" s="86" t="str">
        <f t="shared" si="8"/>
        <v/>
      </c>
      <c r="G74" s="80" t="str">
        <f t="shared" si="8"/>
        <v/>
      </c>
      <c r="H74" s="80" t="str">
        <f t="shared" si="8"/>
        <v/>
      </c>
      <c r="I74" s="80" t="str">
        <f t="shared" si="8"/>
        <v/>
      </c>
      <c r="J74" s="80" t="str">
        <f t="shared" si="8"/>
        <v/>
      </c>
      <c r="K74" s="80" t="str">
        <f t="shared" si="8"/>
        <v/>
      </c>
      <c r="L74" s="80" t="str">
        <f t="shared" si="8"/>
        <v/>
      </c>
      <c r="M74" s="80" t="str">
        <f t="shared" si="8"/>
        <v/>
      </c>
      <c r="N74" s="80" t="str">
        <f t="shared" si="8"/>
        <v/>
      </c>
      <c r="O74" s="80" t="str">
        <f t="shared" si="8"/>
        <v/>
      </c>
      <c r="P74" s="80" t="str">
        <f t="shared" si="7"/>
        <v/>
      </c>
      <c r="Q74" s="80" t="str">
        <f t="shared" si="7"/>
        <v/>
      </c>
      <c r="R74" s="80" t="str">
        <f t="shared" si="7"/>
        <v/>
      </c>
      <c r="S74" s="80" t="str">
        <f t="shared" si="7"/>
        <v/>
      </c>
      <c r="T74" s="80" t="str">
        <f t="shared" si="7"/>
        <v/>
      </c>
      <c r="U74" s="80" t="str">
        <f t="shared" si="7"/>
        <v/>
      </c>
      <c r="V74" s="80" t="str">
        <f t="shared" si="7"/>
        <v/>
      </c>
      <c r="W74" s="80" t="str">
        <f t="shared" si="7"/>
        <v/>
      </c>
      <c r="X74" s="80" t="str">
        <f t="shared" si="7"/>
        <v/>
      </c>
      <c r="Y74" s="80" t="str">
        <f t="shared" si="7"/>
        <v/>
      </c>
      <c r="Z74" s="80" t="str">
        <f t="shared" si="7"/>
        <v/>
      </c>
      <c r="AA74" s="80" t="str">
        <f t="shared" si="7"/>
        <v/>
      </c>
      <c r="AB74" s="80" t="str">
        <f t="shared" si="7"/>
        <v/>
      </c>
      <c r="AC74" s="87" t="str">
        <f t="shared" si="7"/>
        <v/>
      </c>
    </row>
    <row r="75" spans="1:29" x14ac:dyDescent="0.35">
      <c r="A75"/>
      <c r="B75" s="95"/>
      <c r="D75" s="96"/>
      <c r="F75" s="86" t="str">
        <f t="shared" si="8"/>
        <v/>
      </c>
      <c r="G75" s="80" t="str">
        <f t="shared" si="8"/>
        <v/>
      </c>
      <c r="H75" s="80" t="str">
        <f t="shared" si="8"/>
        <v/>
      </c>
      <c r="I75" s="80" t="str">
        <f t="shared" si="8"/>
        <v/>
      </c>
      <c r="J75" s="80" t="str">
        <f t="shared" si="8"/>
        <v/>
      </c>
      <c r="K75" s="80" t="str">
        <f t="shared" si="8"/>
        <v/>
      </c>
      <c r="L75" s="80" t="str">
        <f t="shared" si="8"/>
        <v/>
      </c>
      <c r="M75" s="80" t="str">
        <f t="shared" si="8"/>
        <v/>
      </c>
      <c r="N75" s="80" t="str">
        <f t="shared" si="8"/>
        <v/>
      </c>
      <c r="O75" s="80" t="str">
        <f t="shared" si="8"/>
        <v/>
      </c>
      <c r="P75" s="80" t="str">
        <f t="shared" si="7"/>
        <v/>
      </c>
      <c r="Q75" s="80" t="str">
        <f t="shared" si="7"/>
        <v/>
      </c>
      <c r="R75" s="80" t="str">
        <f t="shared" si="7"/>
        <v/>
      </c>
      <c r="S75" s="80" t="str">
        <f t="shared" si="7"/>
        <v/>
      </c>
      <c r="T75" s="80" t="str">
        <f t="shared" si="7"/>
        <v/>
      </c>
      <c r="U75" s="80" t="str">
        <f t="shared" si="7"/>
        <v/>
      </c>
      <c r="V75" s="80" t="str">
        <f t="shared" si="7"/>
        <v/>
      </c>
      <c r="W75" s="80" t="str">
        <f t="shared" si="7"/>
        <v/>
      </c>
      <c r="X75" s="80" t="str">
        <f t="shared" si="7"/>
        <v/>
      </c>
      <c r="Y75" s="80" t="str">
        <f t="shared" si="7"/>
        <v/>
      </c>
      <c r="Z75" s="80" t="str">
        <f t="shared" si="7"/>
        <v/>
      </c>
      <c r="AA75" s="80" t="str">
        <f t="shared" si="7"/>
        <v/>
      </c>
      <c r="AB75" s="80" t="str">
        <f t="shared" si="7"/>
        <v/>
      </c>
      <c r="AC75" s="87" t="str">
        <f t="shared" si="7"/>
        <v/>
      </c>
    </row>
    <row r="76" spans="1:29" x14ac:dyDescent="0.35">
      <c r="A76"/>
      <c r="B76" s="95"/>
      <c r="D76" s="96"/>
      <c r="F76" s="86" t="str">
        <f t="shared" si="8"/>
        <v/>
      </c>
      <c r="G76" s="80" t="str">
        <f t="shared" si="8"/>
        <v/>
      </c>
      <c r="H76" s="80" t="str">
        <f t="shared" si="8"/>
        <v/>
      </c>
      <c r="I76" s="80" t="str">
        <f t="shared" si="8"/>
        <v/>
      </c>
      <c r="J76" s="80" t="str">
        <f t="shared" si="8"/>
        <v/>
      </c>
      <c r="K76" s="80" t="str">
        <f t="shared" si="8"/>
        <v/>
      </c>
      <c r="L76" s="80" t="str">
        <f t="shared" si="8"/>
        <v/>
      </c>
      <c r="M76" s="80" t="str">
        <f t="shared" si="8"/>
        <v/>
      </c>
      <c r="N76" s="80" t="str">
        <f t="shared" si="8"/>
        <v/>
      </c>
      <c r="O76" s="80" t="str">
        <f t="shared" si="8"/>
        <v/>
      </c>
      <c r="P76" s="80" t="str">
        <f t="shared" si="7"/>
        <v/>
      </c>
      <c r="Q76" s="80" t="str">
        <f t="shared" si="7"/>
        <v/>
      </c>
      <c r="R76" s="80" t="str">
        <f t="shared" si="7"/>
        <v/>
      </c>
      <c r="S76" s="80" t="str">
        <f t="shared" si="7"/>
        <v/>
      </c>
      <c r="T76" s="80" t="str">
        <f t="shared" si="7"/>
        <v/>
      </c>
      <c r="U76" s="80" t="str">
        <f t="shared" si="7"/>
        <v/>
      </c>
      <c r="V76" s="80" t="str">
        <f t="shared" si="7"/>
        <v/>
      </c>
      <c r="W76" s="80" t="str">
        <f t="shared" si="7"/>
        <v/>
      </c>
      <c r="X76" s="80" t="str">
        <f t="shared" si="7"/>
        <v/>
      </c>
      <c r="Y76" s="80" t="str">
        <f t="shared" si="7"/>
        <v/>
      </c>
      <c r="Z76" s="80" t="str">
        <f t="shared" si="7"/>
        <v/>
      </c>
      <c r="AA76" s="80" t="str">
        <f t="shared" si="7"/>
        <v/>
      </c>
      <c r="AB76" s="80" t="str">
        <f t="shared" si="7"/>
        <v/>
      </c>
      <c r="AC76" s="87" t="str">
        <f t="shared" si="7"/>
        <v/>
      </c>
    </row>
    <row r="77" spans="1:29" x14ac:dyDescent="0.35">
      <c r="A77"/>
      <c r="B77" s="95"/>
      <c r="D77" s="96"/>
      <c r="F77" s="86" t="str">
        <f t="shared" si="8"/>
        <v/>
      </c>
      <c r="G77" s="80" t="str">
        <f t="shared" si="8"/>
        <v/>
      </c>
      <c r="H77" s="80" t="str">
        <f t="shared" si="8"/>
        <v/>
      </c>
      <c r="I77" s="80" t="str">
        <f t="shared" si="8"/>
        <v/>
      </c>
      <c r="J77" s="80" t="str">
        <f t="shared" si="8"/>
        <v/>
      </c>
      <c r="K77" s="80" t="str">
        <f t="shared" si="8"/>
        <v/>
      </c>
      <c r="L77" s="80" t="str">
        <f t="shared" si="8"/>
        <v/>
      </c>
      <c r="M77" s="80" t="str">
        <f t="shared" si="8"/>
        <v/>
      </c>
      <c r="N77" s="80" t="str">
        <f t="shared" si="8"/>
        <v/>
      </c>
      <c r="O77" s="80" t="str">
        <f t="shared" si="8"/>
        <v/>
      </c>
      <c r="P77" s="80" t="str">
        <f t="shared" si="7"/>
        <v/>
      </c>
      <c r="Q77" s="80" t="str">
        <f t="shared" si="7"/>
        <v/>
      </c>
      <c r="R77" s="80" t="str">
        <f t="shared" si="7"/>
        <v/>
      </c>
      <c r="S77" s="80" t="str">
        <f t="shared" si="7"/>
        <v/>
      </c>
      <c r="T77" s="80" t="str">
        <f t="shared" si="7"/>
        <v/>
      </c>
      <c r="U77" s="80" t="str">
        <f t="shared" si="7"/>
        <v/>
      </c>
      <c r="V77" s="80" t="str">
        <f t="shared" si="7"/>
        <v/>
      </c>
      <c r="W77" s="80" t="str">
        <f t="shared" si="7"/>
        <v/>
      </c>
      <c r="X77" s="80" t="str">
        <f t="shared" si="7"/>
        <v/>
      </c>
      <c r="Y77" s="80" t="str">
        <f t="shared" si="7"/>
        <v/>
      </c>
      <c r="Z77" s="80" t="str">
        <f t="shared" si="7"/>
        <v/>
      </c>
      <c r="AA77" s="80" t="str">
        <f t="shared" si="7"/>
        <v/>
      </c>
      <c r="AB77" s="80" t="str">
        <f t="shared" si="7"/>
        <v/>
      </c>
      <c r="AC77" s="87" t="str">
        <f t="shared" si="7"/>
        <v/>
      </c>
    </row>
    <row r="78" spans="1:29" x14ac:dyDescent="0.35">
      <c r="A78"/>
      <c r="B78" s="95"/>
      <c r="D78" s="96"/>
      <c r="F78" s="86" t="str">
        <f t="shared" si="8"/>
        <v/>
      </c>
      <c r="G78" s="80" t="str">
        <f t="shared" si="8"/>
        <v/>
      </c>
      <c r="H78" s="80" t="str">
        <f t="shared" si="8"/>
        <v/>
      </c>
      <c r="I78" s="80" t="str">
        <f t="shared" si="8"/>
        <v/>
      </c>
      <c r="J78" s="80" t="str">
        <f t="shared" si="8"/>
        <v/>
      </c>
      <c r="K78" s="80" t="str">
        <f t="shared" si="8"/>
        <v/>
      </c>
      <c r="L78" s="80" t="str">
        <f t="shared" si="8"/>
        <v/>
      </c>
      <c r="M78" s="80" t="str">
        <f t="shared" si="8"/>
        <v/>
      </c>
      <c r="N78" s="80" t="str">
        <f t="shared" si="8"/>
        <v/>
      </c>
      <c r="O78" s="80" t="str">
        <f t="shared" si="8"/>
        <v/>
      </c>
      <c r="P78" s="80" t="str">
        <f t="shared" si="7"/>
        <v/>
      </c>
      <c r="Q78" s="80" t="str">
        <f t="shared" ref="P78:AC96" si="9">IF(AND(Q$6&gt;=$C78, Q$6&lt;=$D78),"1","")</f>
        <v/>
      </c>
      <c r="R78" s="80" t="str">
        <f t="shared" si="9"/>
        <v/>
      </c>
      <c r="S78" s="80" t="str">
        <f t="shared" si="9"/>
        <v/>
      </c>
      <c r="T78" s="80" t="str">
        <f t="shared" si="9"/>
        <v/>
      </c>
      <c r="U78" s="80" t="str">
        <f t="shared" si="9"/>
        <v/>
      </c>
      <c r="V78" s="80" t="str">
        <f t="shared" si="9"/>
        <v/>
      </c>
      <c r="W78" s="80" t="str">
        <f t="shared" si="9"/>
        <v/>
      </c>
      <c r="X78" s="80" t="str">
        <f t="shared" si="9"/>
        <v/>
      </c>
      <c r="Y78" s="80" t="str">
        <f t="shared" si="9"/>
        <v/>
      </c>
      <c r="Z78" s="80" t="str">
        <f t="shared" si="9"/>
        <v/>
      </c>
      <c r="AA78" s="80" t="str">
        <f t="shared" si="9"/>
        <v/>
      </c>
      <c r="AB78" s="80" t="str">
        <f t="shared" si="9"/>
        <v/>
      </c>
      <c r="AC78" s="87" t="str">
        <f t="shared" si="9"/>
        <v/>
      </c>
    </row>
    <row r="79" spans="1:29" x14ac:dyDescent="0.35">
      <c r="A79"/>
      <c r="B79" s="95"/>
      <c r="D79" s="96"/>
      <c r="F79" s="86" t="str">
        <f t="shared" si="8"/>
        <v/>
      </c>
      <c r="G79" s="80" t="str">
        <f t="shared" si="8"/>
        <v/>
      </c>
      <c r="H79" s="80" t="str">
        <f t="shared" si="8"/>
        <v/>
      </c>
      <c r="I79" s="80" t="str">
        <f t="shared" si="8"/>
        <v/>
      </c>
      <c r="J79" s="80" t="str">
        <f t="shared" si="8"/>
        <v/>
      </c>
      <c r="K79" s="80" t="str">
        <f t="shared" si="8"/>
        <v/>
      </c>
      <c r="L79" s="80" t="str">
        <f t="shared" si="8"/>
        <v/>
      </c>
      <c r="M79" s="80" t="str">
        <f t="shared" si="8"/>
        <v/>
      </c>
      <c r="N79" s="80" t="str">
        <f t="shared" si="8"/>
        <v/>
      </c>
      <c r="O79" s="80" t="str">
        <f t="shared" si="8"/>
        <v/>
      </c>
      <c r="P79" s="80" t="str">
        <f t="shared" si="9"/>
        <v/>
      </c>
      <c r="Q79" s="80" t="str">
        <f t="shared" si="9"/>
        <v/>
      </c>
      <c r="R79" s="80" t="str">
        <f t="shared" si="9"/>
        <v/>
      </c>
      <c r="S79" s="80" t="str">
        <f t="shared" si="9"/>
        <v/>
      </c>
      <c r="T79" s="80" t="str">
        <f t="shared" si="9"/>
        <v/>
      </c>
      <c r="U79" s="80" t="str">
        <f t="shared" si="9"/>
        <v/>
      </c>
      <c r="V79" s="80" t="str">
        <f t="shared" si="9"/>
        <v/>
      </c>
      <c r="W79" s="80" t="str">
        <f t="shared" si="9"/>
        <v/>
      </c>
      <c r="X79" s="80" t="str">
        <f t="shared" si="9"/>
        <v/>
      </c>
      <c r="Y79" s="80" t="str">
        <f t="shared" si="9"/>
        <v/>
      </c>
      <c r="Z79" s="80" t="str">
        <f t="shared" si="9"/>
        <v/>
      </c>
      <c r="AA79" s="80" t="str">
        <f t="shared" si="9"/>
        <v/>
      </c>
      <c r="AB79" s="80" t="str">
        <f t="shared" si="9"/>
        <v/>
      </c>
      <c r="AC79" s="87" t="str">
        <f t="shared" si="9"/>
        <v/>
      </c>
    </row>
    <row r="80" spans="1:29" x14ac:dyDescent="0.35">
      <c r="A80"/>
      <c r="B80" s="95"/>
      <c r="D80" s="96"/>
      <c r="F80" s="86" t="str">
        <f t="shared" si="8"/>
        <v/>
      </c>
      <c r="G80" s="80" t="str">
        <f t="shared" si="8"/>
        <v/>
      </c>
      <c r="H80" s="80" t="str">
        <f t="shared" si="8"/>
        <v/>
      </c>
      <c r="I80" s="80" t="str">
        <f t="shared" si="8"/>
        <v/>
      </c>
      <c r="J80" s="80" t="str">
        <f t="shared" si="8"/>
        <v/>
      </c>
      <c r="K80" s="80" t="str">
        <f t="shared" si="8"/>
        <v/>
      </c>
      <c r="L80" s="80" t="str">
        <f t="shared" si="8"/>
        <v/>
      </c>
      <c r="M80" s="80" t="str">
        <f t="shared" si="8"/>
        <v/>
      </c>
      <c r="N80" s="80" t="str">
        <f t="shared" si="8"/>
        <v/>
      </c>
      <c r="O80" s="80" t="str">
        <f t="shared" si="8"/>
        <v/>
      </c>
      <c r="P80" s="80" t="str">
        <f t="shared" si="9"/>
        <v/>
      </c>
      <c r="Q80" s="80" t="str">
        <f t="shared" si="9"/>
        <v/>
      </c>
      <c r="R80" s="80" t="str">
        <f t="shared" si="9"/>
        <v/>
      </c>
      <c r="S80" s="80" t="str">
        <f t="shared" si="9"/>
        <v/>
      </c>
      <c r="T80" s="80" t="str">
        <f t="shared" si="9"/>
        <v/>
      </c>
      <c r="U80" s="80" t="str">
        <f t="shared" si="9"/>
        <v/>
      </c>
      <c r="V80" s="80" t="str">
        <f t="shared" si="9"/>
        <v/>
      </c>
      <c r="W80" s="80" t="str">
        <f t="shared" si="9"/>
        <v/>
      </c>
      <c r="X80" s="80" t="str">
        <f t="shared" si="9"/>
        <v/>
      </c>
      <c r="Y80" s="80" t="str">
        <f t="shared" si="9"/>
        <v/>
      </c>
      <c r="Z80" s="80" t="str">
        <f t="shared" si="9"/>
        <v/>
      </c>
      <c r="AA80" s="80" t="str">
        <f t="shared" si="9"/>
        <v/>
      </c>
      <c r="AB80" s="80" t="str">
        <f t="shared" si="9"/>
        <v/>
      </c>
      <c r="AC80" s="87" t="str">
        <f t="shared" si="9"/>
        <v/>
      </c>
    </row>
    <row r="81" spans="1:29" x14ac:dyDescent="0.35">
      <c r="A81"/>
      <c r="B81" s="95"/>
      <c r="D81" s="96"/>
      <c r="F81" s="86" t="str">
        <f t="shared" si="8"/>
        <v/>
      </c>
      <c r="G81" s="80" t="str">
        <f t="shared" si="8"/>
        <v/>
      </c>
      <c r="H81" s="80" t="str">
        <f t="shared" si="8"/>
        <v/>
      </c>
      <c r="I81" s="80" t="str">
        <f t="shared" si="8"/>
        <v/>
      </c>
      <c r="J81" s="80" t="str">
        <f t="shared" si="8"/>
        <v/>
      </c>
      <c r="K81" s="80" t="str">
        <f t="shared" si="8"/>
        <v/>
      </c>
      <c r="L81" s="80" t="str">
        <f t="shared" si="8"/>
        <v/>
      </c>
      <c r="M81" s="80" t="str">
        <f t="shared" si="8"/>
        <v/>
      </c>
      <c r="N81" s="80" t="str">
        <f t="shared" si="8"/>
        <v/>
      </c>
      <c r="O81" s="80" t="str">
        <f t="shared" si="8"/>
        <v/>
      </c>
      <c r="P81" s="80" t="str">
        <f t="shared" si="9"/>
        <v/>
      </c>
      <c r="Q81" s="80" t="str">
        <f t="shared" si="9"/>
        <v/>
      </c>
      <c r="R81" s="80" t="str">
        <f t="shared" si="9"/>
        <v/>
      </c>
      <c r="S81" s="80" t="str">
        <f t="shared" si="9"/>
        <v/>
      </c>
      <c r="T81" s="80" t="str">
        <f t="shared" si="9"/>
        <v/>
      </c>
      <c r="U81" s="80" t="str">
        <f t="shared" si="9"/>
        <v/>
      </c>
      <c r="V81" s="80" t="str">
        <f t="shared" si="9"/>
        <v/>
      </c>
      <c r="W81" s="80" t="str">
        <f t="shared" si="9"/>
        <v/>
      </c>
      <c r="X81" s="80" t="str">
        <f t="shared" si="9"/>
        <v/>
      </c>
      <c r="Y81" s="80" t="str">
        <f t="shared" si="9"/>
        <v/>
      </c>
      <c r="Z81" s="80" t="str">
        <f t="shared" si="9"/>
        <v/>
      </c>
      <c r="AA81" s="80" t="str">
        <f t="shared" si="9"/>
        <v/>
      </c>
      <c r="AB81" s="80" t="str">
        <f t="shared" si="9"/>
        <v/>
      </c>
      <c r="AC81" s="87" t="str">
        <f t="shared" si="9"/>
        <v/>
      </c>
    </row>
    <row r="82" spans="1:29" x14ac:dyDescent="0.35">
      <c r="A82"/>
      <c r="B82" s="95"/>
      <c r="D82" s="96"/>
      <c r="F82" s="86" t="str">
        <f t="shared" si="8"/>
        <v/>
      </c>
      <c r="G82" s="80" t="str">
        <f t="shared" si="8"/>
        <v/>
      </c>
      <c r="H82" s="80" t="str">
        <f t="shared" si="8"/>
        <v/>
      </c>
      <c r="I82" s="80" t="str">
        <f t="shared" si="8"/>
        <v/>
      </c>
      <c r="J82" s="80" t="str">
        <f t="shared" si="8"/>
        <v/>
      </c>
      <c r="K82" s="80" t="str">
        <f t="shared" si="8"/>
        <v/>
      </c>
      <c r="L82" s="80" t="str">
        <f t="shared" si="8"/>
        <v/>
      </c>
      <c r="M82" s="80" t="str">
        <f t="shared" si="8"/>
        <v/>
      </c>
      <c r="N82" s="80" t="str">
        <f t="shared" si="8"/>
        <v/>
      </c>
      <c r="O82" s="80" t="str">
        <f t="shared" si="8"/>
        <v/>
      </c>
      <c r="P82" s="80" t="str">
        <f t="shared" si="9"/>
        <v/>
      </c>
      <c r="Q82" s="80" t="str">
        <f t="shared" si="9"/>
        <v/>
      </c>
      <c r="R82" s="80" t="str">
        <f t="shared" si="9"/>
        <v/>
      </c>
      <c r="S82" s="80" t="str">
        <f t="shared" si="9"/>
        <v/>
      </c>
      <c r="T82" s="80" t="str">
        <f t="shared" si="9"/>
        <v/>
      </c>
      <c r="U82" s="80" t="str">
        <f t="shared" si="9"/>
        <v/>
      </c>
      <c r="V82" s="80" t="str">
        <f t="shared" si="9"/>
        <v/>
      </c>
      <c r="W82" s="80" t="str">
        <f t="shared" si="9"/>
        <v/>
      </c>
      <c r="X82" s="80" t="str">
        <f t="shared" si="9"/>
        <v/>
      </c>
      <c r="Y82" s="80" t="str">
        <f t="shared" si="9"/>
        <v/>
      </c>
      <c r="Z82" s="80" t="str">
        <f t="shared" si="9"/>
        <v/>
      </c>
      <c r="AA82" s="80" t="str">
        <f t="shared" si="9"/>
        <v/>
      </c>
      <c r="AB82" s="80" t="str">
        <f t="shared" si="9"/>
        <v/>
      </c>
      <c r="AC82" s="87" t="str">
        <f t="shared" si="9"/>
        <v/>
      </c>
    </row>
    <row r="83" spans="1:29" x14ac:dyDescent="0.35">
      <c r="A83"/>
      <c r="B83" s="95"/>
      <c r="D83" s="96"/>
      <c r="F83" s="86" t="str">
        <f t="shared" si="8"/>
        <v/>
      </c>
      <c r="G83" s="80" t="str">
        <f t="shared" si="8"/>
        <v/>
      </c>
      <c r="H83" s="80" t="str">
        <f t="shared" si="8"/>
        <v/>
      </c>
      <c r="I83" s="80" t="str">
        <f t="shared" si="8"/>
        <v/>
      </c>
      <c r="J83" s="80" t="str">
        <f t="shared" si="8"/>
        <v/>
      </c>
      <c r="K83" s="80" t="str">
        <f t="shared" si="8"/>
        <v/>
      </c>
      <c r="L83" s="80" t="str">
        <f t="shared" si="8"/>
        <v/>
      </c>
      <c r="M83" s="80" t="str">
        <f t="shared" si="8"/>
        <v/>
      </c>
      <c r="N83" s="80" t="str">
        <f t="shared" si="8"/>
        <v/>
      </c>
      <c r="O83" s="80" t="str">
        <f t="shared" si="8"/>
        <v/>
      </c>
      <c r="P83" s="80" t="str">
        <f t="shared" si="9"/>
        <v/>
      </c>
      <c r="Q83" s="80" t="str">
        <f t="shared" si="9"/>
        <v/>
      </c>
      <c r="R83" s="80" t="str">
        <f t="shared" si="9"/>
        <v/>
      </c>
      <c r="S83" s="80" t="str">
        <f t="shared" si="9"/>
        <v/>
      </c>
      <c r="T83" s="80" t="str">
        <f t="shared" si="9"/>
        <v/>
      </c>
      <c r="U83" s="80" t="str">
        <f t="shared" si="9"/>
        <v/>
      </c>
      <c r="V83" s="80" t="str">
        <f t="shared" si="9"/>
        <v/>
      </c>
      <c r="W83" s="80" t="str">
        <f t="shared" si="9"/>
        <v/>
      </c>
      <c r="X83" s="80" t="str">
        <f t="shared" si="9"/>
        <v/>
      </c>
      <c r="Y83" s="80" t="str">
        <f t="shared" si="9"/>
        <v/>
      </c>
      <c r="Z83" s="80" t="str">
        <f t="shared" si="9"/>
        <v/>
      </c>
      <c r="AA83" s="80" t="str">
        <f t="shared" si="9"/>
        <v/>
      </c>
      <c r="AB83" s="80" t="str">
        <f t="shared" si="9"/>
        <v/>
      </c>
      <c r="AC83" s="87" t="str">
        <f t="shared" si="9"/>
        <v/>
      </c>
    </row>
    <row r="84" spans="1:29" x14ac:dyDescent="0.35">
      <c r="A84"/>
      <c r="B84" s="95"/>
      <c r="D84" s="96"/>
      <c r="F84" s="86" t="str">
        <f t="shared" si="8"/>
        <v/>
      </c>
      <c r="G84" s="80" t="str">
        <f t="shared" si="8"/>
        <v/>
      </c>
      <c r="H84" s="80" t="str">
        <f t="shared" si="8"/>
        <v/>
      </c>
      <c r="I84" s="80" t="str">
        <f t="shared" si="8"/>
        <v/>
      </c>
      <c r="J84" s="80" t="str">
        <f t="shared" si="8"/>
        <v/>
      </c>
      <c r="K84" s="80" t="str">
        <f t="shared" si="8"/>
        <v/>
      </c>
      <c r="L84" s="80" t="str">
        <f t="shared" si="8"/>
        <v/>
      </c>
      <c r="M84" s="80" t="str">
        <f t="shared" si="8"/>
        <v/>
      </c>
      <c r="N84" s="80" t="str">
        <f t="shared" si="8"/>
        <v/>
      </c>
      <c r="O84" s="80" t="str">
        <f t="shared" si="8"/>
        <v/>
      </c>
      <c r="P84" s="80" t="str">
        <f t="shared" si="9"/>
        <v/>
      </c>
      <c r="Q84" s="80" t="str">
        <f t="shared" si="9"/>
        <v/>
      </c>
      <c r="R84" s="80" t="str">
        <f t="shared" si="9"/>
        <v/>
      </c>
      <c r="S84" s="80" t="str">
        <f t="shared" si="9"/>
        <v/>
      </c>
      <c r="T84" s="80" t="str">
        <f t="shared" si="9"/>
        <v/>
      </c>
      <c r="U84" s="80" t="str">
        <f t="shared" si="9"/>
        <v/>
      </c>
      <c r="V84" s="80" t="str">
        <f t="shared" si="9"/>
        <v/>
      </c>
      <c r="W84" s="80" t="str">
        <f t="shared" si="9"/>
        <v/>
      </c>
      <c r="X84" s="80" t="str">
        <f t="shared" si="9"/>
        <v/>
      </c>
      <c r="Y84" s="80" t="str">
        <f t="shared" si="9"/>
        <v/>
      </c>
      <c r="Z84" s="80" t="str">
        <f t="shared" si="9"/>
        <v/>
      </c>
      <c r="AA84" s="80" t="str">
        <f t="shared" si="9"/>
        <v/>
      </c>
      <c r="AB84" s="80" t="str">
        <f t="shared" si="9"/>
        <v/>
      </c>
      <c r="AC84" s="87" t="str">
        <f t="shared" si="9"/>
        <v/>
      </c>
    </row>
    <row r="85" spans="1:29" x14ac:dyDescent="0.35">
      <c r="A85"/>
      <c r="B85" s="95"/>
      <c r="D85" s="96"/>
      <c r="F85" s="86" t="str">
        <f t="shared" si="8"/>
        <v/>
      </c>
      <c r="G85" s="80" t="str">
        <f t="shared" si="8"/>
        <v/>
      </c>
      <c r="H85" s="80" t="str">
        <f t="shared" si="8"/>
        <v/>
      </c>
      <c r="I85" s="80" t="str">
        <f t="shared" si="8"/>
        <v/>
      </c>
      <c r="J85" s="80" t="str">
        <f t="shared" si="8"/>
        <v/>
      </c>
      <c r="K85" s="80" t="str">
        <f t="shared" si="8"/>
        <v/>
      </c>
      <c r="L85" s="80" t="str">
        <f t="shared" si="8"/>
        <v/>
      </c>
      <c r="M85" s="80" t="str">
        <f t="shared" si="8"/>
        <v/>
      </c>
      <c r="N85" s="80" t="str">
        <f t="shared" si="8"/>
        <v/>
      </c>
      <c r="O85" s="80" t="str">
        <f t="shared" si="8"/>
        <v/>
      </c>
      <c r="P85" s="80" t="str">
        <f t="shared" si="9"/>
        <v/>
      </c>
      <c r="Q85" s="80" t="str">
        <f t="shared" si="9"/>
        <v/>
      </c>
      <c r="R85" s="80" t="str">
        <f t="shared" si="9"/>
        <v/>
      </c>
      <c r="S85" s="80" t="str">
        <f t="shared" si="9"/>
        <v/>
      </c>
      <c r="T85" s="80" t="str">
        <f t="shared" si="9"/>
        <v/>
      </c>
      <c r="U85" s="80" t="str">
        <f t="shared" si="9"/>
        <v/>
      </c>
      <c r="V85" s="80" t="str">
        <f t="shared" si="9"/>
        <v/>
      </c>
      <c r="W85" s="80" t="str">
        <f t="shared" si="9"/>
        <v/>
      </c>
      <c r="X85" s="80" t="str">
        <f t="shared" si="9"/>
        <v/>
      </c>
      <c r="Y85" s="80" t="str">
        <f t="shared" si="9"/>
        <v/>
      </c>
      <c r="Z85" s="80" t="str">
        <f t="shared" si="9"/>
        <v/>
      </c>
      <c r="AA85" s="80" t="str">
        <f t="shared" si="9"/>
        <v/>
      </c>
      <c r="AB85" s="80" t="str">
        <f t="shared" si="9"/>
        <v/>
      </c>
      <c r="AC85" s="87" t="str">
        <f t="shared" si="9"/>
        <v/>
      </c>
    </row>
    <row r="86" spans="1:29" x14ac:dyDescent="0.35">
      <c r="A86"/>
      <c r="B86" s="95"/>
      <c r="D86" s="96"/>
      <c r="F86" s="86" t="str">
        <f t="shared" si="8"/>
        <v/>
      </c>
      <c r="G86" s="80" t="str">
        <f t="shared" si="8"/>
        <v/>
      </c>
      <c r="H86" s="80" t="str">
        <f t="shared" si="8"/>
        <v/>
      </c>
      <c r="I86" s="80" t="str">
        <f t="shared" si="8"/>
        <v/>
      </c>
      <c r="J86" s="80" t="str">
        <f t="shared" si="8"/>
        <v/>
      </c>
      <c r="K86" s="80" t="str">
        <f t="shared" si="8"/>
        <v/>
      </c>
      <c r="L86" s="80" t="str">
        <f t="shared" si="8"/>
        <v/>
      </c>
      <c r="M86" s="80" t="str">
        <f t="shared" si="8"/>
        <v/>
      </c>
      <c r="N86" s="80" t="str">
        <f t="shared" si="8"/>
        <v/>
      </c>
      <c r="O86" s="80" t="str">
        <f t="shared" si="8"/>
        <v/>
      </c>
      <c r="P86" s="80" t="str">
        <f t="shared" si="9"/>
        <v/>
      </c>
      <c r="Q86" s="80" t="str">
        <f t="shared" si="9"/>
        <v/>
      </c>
      <c r="R86" s="80" t="str">
        <f t="shared" si="9"/>
        <v/>
      </c>
      <c r="S86" s="80" t="str">
        <f t="shared" si="9"/>
        <v/>
      </c>
      <c r="T86" s="80" t="str">
        <f t="shared" si="9"/>
        <v/>
      </c>
      <c r="U86" s="80" t="str">
        <f t="shared" si="9"/>
        <v/>
      </c>
      <c r="V86" s="80" t="str">
        <f t="shared" si="9"/>
        <v/>
      </c>
      <c r="W86" s="80" t="str">
        <f t="shared" si="9"/>
        <v/>
      </c>
      <c r="X86" s="80" t="str">
        <f t="shared" si="9"/>
        <v/>
      </c>
      <c r="Y86" s="80" t="str">
        <f t="shared" si="9"/>
        <v/>
      </c>
      <c r="Z86" s="80" t="str">
        <f t="shared" si="9"/>
        <v/>
      </c>
      <c r="AA86" s="80" t="str">
        <f t="shared" si="9"/>
        <v/>
      </c>
      <c r="AB86" s="80" t="str">
        <f t="shared" si="9"/>
        <v/>
      </c>
      <c r="AC86" s="87" t="str">
        <f t="shared" si="9"/>
        <v/>
      </c>
    </row>
    <row r="87" spans="1:29" x14ac:dyDescent="0.35">
      <c r="A87"/>
      <c r="B87" s="95"/>
      <c r="D87" s="96"/>
      <c r="F87" s="86" t="str">
        <f t="shared" si="8"/>
        <v/>
      </c>
      <c r="G87" s="80" t="str">
        <f t="shared" si="8"/>
        <v/>
      </c>
      <c r="H87" s="80" t="str">
        <f t="shared" si="8"/>
        <v/>
      </c>
      <c r="I87" s="80" t="str">
        <f t="shared" si="8"/>
        <v/>
      </c>
      <c r="J87" s="80" t="str">
        <f t="shared" si="8"/>
        <v/>
      </c>
      <c r="K87" s="80" t="str">
        <f t="shared" si="8"/>
        <v/>
      </c>
      <c r="L87" s="80" t="str">
        <f t="shared" si="8"/>
        <v/>
      </c>
      <c r="M87" s="80" t="str">
        <f t="shared" si="8"/>
        <v/>
      </c>
      <c r="N87" s="80" t="str">
        <f t="shared" si="8"/>
        <v/>
      </c>
      <c r="O87" s="80" t="str">
        <f t="shared" si="8"/>
        <v/>
      </c>
      <c r="P87" s="80" t="str">
        <f t="shared" si="9"/>
        <v/>
      </c>
      <c r="Q87" s="80" t="str">
        <f t="shared" si="9"/>
        <v/>
      </c>
      <c r="R87" s="80" t="str">
        <f t="shared" si="9"/>
        <v/>
      </c>
      <c r="S87" s="80" t="str">
        <f t="shared" si="9"/>
        <v/>
      </c>
      <c r="T87" s="80" t="str">
        <f t="shared" si="9"/>
        <v/>
      </c>
      <c r="U87" s="80" t="str">
        <f t="shared" si="9"/>
        <v/>
      </c>
      <c r="V87" s="80" t="str">
        <f t="shared" si="9"/>
        <v/>
      </c>
      <c r="W87" s="80" t="str">
        <f t="shared" si="9"/>
        <v/>
      </c>
      <c r="X87" s="80" t="str">
        <f t="shared" si="9"/>
        <v/>
      </c>
      <c r="Y87" s="80" t="str">
        <f t="shared" si="9"/>
        <v/>
      </c>
      <c r="Z87" s="80" t="str">
        <f t="shared" si="9"/>
        <v/>
      </c>
      <c r="AA87" s="80" t="str">
        <f t="shared" si="9"/>
        <v/>
      </c>
      <c r="AB87" s="80" t="str">
        <f t="shared" si="9"/>
        <v/>
      </c>
      <c r="AC87" s="87" t="str">
        <f t="shared" si="9"/>
        <v/>
      </c>
    </row>
    <row r="88" spans="1:29" x14ac:dyDescent="0.35">
      <c r="A88"/>
      <c r="B88" s="95"/>
      <c r="D88" s="96"/>
      <c r="F88" s="86" t="str">
        <f t="shared" si="8"/>
        <v/>
      </c>
      <c r="G88" s="80" t="str">
        <f t="shared" si="8"/>
        <v/>
      </c>
      <c r="H88" s="80" t="str">
        <f t="shared" si="8"/>
        <v/>
      </c>
      <c r="I88" s="80" t="str">
        <f t="shared" si="8"/>
        <v/>
      </c>
      <c r="J88" s="80" t="str">
        <f t="shared" si="8"/>
        <v/>
      </c>
      <c r="K88" s="80" t="str">
        <f t="shared" si="8"/>
        <v/>
      </c>
      <c r="L88" s="80" t="str">
        <f t="shared" si="8"/>
        <v/>
      </c>
      <c r="M88" s="80" t="str">
        <f t="shared" si="8"/>
        <v/>
      </c>
      <c r="N88" s="80" t="str">
        <f t="shared" si="8"/>
        <v/>
      </c>
      <c r="O88" s="80" t="str">
        <f t="shared" si="8"/>
        <v/>
      </c>
      <c r="P88" s="80" t="str">
        <f t="shared" si="9"/>
        <v/>
      </c>
      <c r="Q88" s="80" t="str">
        <f t="shared" si="9"/>
        <v/>
      </c>
      <c r="R88" s="80" t="str">
        <f t="shared" si="9"/>
        <v/>
      </c>
      <c r="S88" s="80" t="str">
        <f t="shared" si="9"/>
        <v/>
      </c>
      <c r="T88" s="80" t="str">
        <f t="shared" si="9"/>
        <v/>
      </c>
      <c r="U88" s="80" t="str">
        <f t="shared" si="9"/>
        <v/>
      </c>
      <c r="V88" s="80" t="str">
        <f t="shared" si="9"/>
        <v/>
      </c>
      <c r="W88" s="80" t="str">
        <f t="shared" si="9"/>
        <v/>
      </c>
      <c r="X88" s="80" t="str">
        <f t="shared" si="9"/>
        <v/>
      </c>
      <c r="Y88" s="80" t="str">
        <f t="shared" si="9"/>
        <v/>
      </c>
      <c r="Z88" s="80" t="str">
        <f t="shared" si="9"/>
        <v/>
      </c>
      <c r="AA88" s="80" t="str">
        <f t="shared" si="9"/>
        <v/>
      </c>
      <c r="AB88" s="80" t="str">
        <f t="shared" si="9"/>
        <v/>
      </c>
      <c r="AC88" s="87" t="str">
        <f t="shared" si="9"/>
        <v/>
      </c>
    </row>
    <row r="89" spans="1:29" x14ac:dyDescent="0.35">
      <c r="A89"/>
      <c r="B89" s="95"/>
      <c r="D89" s="96"/>
      <c r="F89" s="86" t="str">
        <f t="shared" si="8"/>
        <v/>
      </c>
      <c r="G89" s="80" t="str">
        <f t="shared" si="8"/>
        <v/>
      </c>
      <c r="H89" s="80" t="str">
        <f t="shared" si="8"/>
        <v/>
      </c>
      <c r="I89" s="80" t="str">
        <f t="shared" si="8"/>
        <v/>
      </c>
      <c r="J89" s="80" t="str">
        <f t="shared" si="8"/>
        <v/>
      </c>
      <c r="K89" s="80" t="str">
        <f t="shared" si="8"/>
        <v/>
      </c>
      <c r="L89" s="80" t="str">
        <f t="shared" si="8"/>
        <v/>
      </c>
      <c r="M89" s="80" t="str">
        <f t="shared" si="8"/>
        <v/>
      </c>
      <c r="N89" s="80" t="str">
        <f t="shared" si="8"/>
        <v/>
      </c>
      <c r="O89" s="80" t="str">
        <f t="shared" si="8"/>
        <v/>
      </c>
      <c r="P89" s="80" t="str">
        <f t="shared" si="9"/>
        <v/>
      </c>
      <c r="Q89" s="80" t="str">
        <f t="shared" si="9"/>
        <v/>
      </c>
      <c r="R89" s="80" t="str">
        <f t="shared" si="9"/>
        <v/>
      </c>
      <c r="S89" s="80" t="str">
        <f t="shared" si="9"/>
        <v/>
      </c>
      <c r="T89" s="80" t="str">
        <f t="shared" si="9"/>
        <v/>
      </c>
      <c r="U89" s="80" t="str">
        <f t="shared" si="9"/>
        <v/>
      </c>
      <c r="V89" s="80" t="str">
        <f t="shared" si="9"/>
        <v/>
      </c>
      <c r="W89" s="80" t="str">
        <f t="shared" si="9"/>
        <v/>
      </c>
      <c r="X89" s="80" t="str">
        <f t="shared" si="9"/>
        <v/>
      </c>
      <c r="Y89" s="80" t="str">
        <f t="shared" si="9"/>
        <v/>
      </c>
      <c r="Z89" s="80" t="str">
        <f t="shared" si="9"/>
        <v/>
      </c>
      <c r="AA89" s="80" t="str">
        <f t="shared" si="9"/>
        <v/>
      </c>
      <c r="AB89" s="80" t="str">
        <f t="shared" si="9"/>
        <v/>
      </c>
      <c r="AC89" s="87" t="str">
        <f t="shared" si="9"/>
        <v/>
      </c>
    </row>
    <row r="90" spans="1:29" x14ac:dyDescent="0.35">
      <c r="A90"/>
      <c r="B90" s="95"/>
      <c r="D90" s="96"/>
      <c r="F90" s="86" t="str">
        <f t="shared" si="8"/>
        <v/>
      </c>
      <c r="G90" s="80" t="str">
        <f t="shared" si="8"/>
        <v/>
      </c>
      <c r="H90" s="80" t="str">
        <f t="shared" si="8"/>
        <v/>
      </c>
      <c r="I90" s="80" t="str">
        <f t="shared" si="8"/>
        <v/>
      </c>
      <c r="J90" s="80" t="str">
        <f t="shared" si="8"/>
        <v/>
      </c>
      <c r="K90" s="80" t="str">
        <f t="shared" si="8"/>
        <v/>
      </c>
      <c r="L90" s="80" t="str">
        <f t="shared" si="8"/>
        <v/>
      </c>
      <c r="M90" s="80" t="str">
        <f t="shared" si="8"/>
        <v/>
      </c>
      <c r="N90" s="80" t="str">
        <f t="shared" si="8"/>
        <v/>
      </c>
      <c r="O90" s="80" t="str">
        <f t="shared" si="8"/>
        <v/>
      </c>
      <c r="P90" s="80" t="str">
        <f t="shared" si="9"/>
        <v/>
      </c>
      <c r="Q90" s="80" t="str">
        <f t="shared" si="9"/>
        <v/>
      </c>
      <c r="R90" s="80" t="str">
        <f t="shared" si="9"/>
        <v/>
      </c>
      <c r="S90" s="80" t="str">
        <f t="shared" si="9"/>
        <v/>
      </c>
      <c r="T90" s="80" t="str">
        <f t="shared" si="9"/>
        <v/>
      </c>
      <c r="U90" s="80" t="str">
        <f t="shared" si="9"/>
        <v/>
      </c>
      <c r="V90" s="80" t="str">
        <f t="shared" si="9"/>
        <v/>
      </c>
      <c r="W90" s="80" t="str">
        <f t="shared" si="9"/>
        <v/>
      </c>
      <c r="X90" s="80" t="str">
        <f t="shared" si="9"/>
        <v/>
      </c>
      <c r="Y90" s="80" t="str">
        <f t="shared" si="9"/>
        <v/>
      </c>
      <c r="Z90" s="80" t="str">
        <f t="shared" si="9"/>
        <v/>
      </c>
      <c r="AA90" s="80" t="str">
        <f t="shared" si="9"/>
        <v/>
      </c>
      <c r="AB90" s="80" t="str">
        <f t="shared" si="9"/>
        <v/>
      </c>
      <c r="AC90" s="87" t="str">
        <f t="shared" si="9"/>
        <v/>
      </c>
    </row>
    <row r="91" spans="1:29" x14ac:dyDescent="0.35">
      <c r="A91"/>
      <c r="B91" s="95"/>
      <c r="D91" s="96"/>
      <c r="F91" s="86" t="str">
        <f t="shared" si="8"/>
        <v/>
      </c>
      <c r="G91" s="80" t="str">
        <f t="shared" si="8"/>
        <v/>
      </c>
      <c r="H91" s="80" t="str">
        <f t="shared" si="8"/>
        <v/>
      </c>
      <c r="I91" s="80" t="str">
        <f t="shared" si="8"/>
        <v/>
      </c>
      <c r="J91" s="80" t="str">
        <f t="shared" si="8"/>
        <v/>
      </c>
      <c r="K91" s="80" t="str">
        <f t="shared" si="8"/>
        <v/>
      </c>
      <c r="L91" s="80" t="str">
        <f t="shared" si="8"/>
        <v/>
      </c>
      <c r="M91" s="80" t="str">
        <f t="shared" si="8"/>
        <v/>
      </c>
      <c r="N91" s="80" t="str">
        <f t="shared" si="8"/>
        <v/>
      </c>
      <c r="O91" s="80" t="str">
        <f t="shared" si="8"/>
        <v/>
      </c>
      <c r="P91" s="80" t="str">
        <f t="shared" si="9"/>
        <v/>
      </c>
      <c r="Q91" s="80" t="str">
        <f t="shared" si="9"/>
        <v/>
      </c>
      <c r="R91" s="80" t="str">
        <f t="shared" si="9"/>
        <v/>
      </c>
      <c r="S91" s="80" t="str">
        <f t="shared" si="9"/>
        <v/>
      </c>
      <c r="T91" s="80" t="str">
        <f t="shared" si="9"/>
        <v/>
      </c>
      <c r="U91" s="80" t="str">
        <f t="shared" si="9"/>
        <v/>
      </c>
      <c r="V91" s="80" t="str">
        <f t="shared" si="9"/>
        <v/>
      </c>
      <c r="W91" s="80" t="str">
        <f t="shared" si="9"/>
        <v/>
      </c>
      <c r="X91" s="80" t="str">
        <f t="shared" si="9"/>
        <v/>
      </c>
      <c r="Y91" s="80" t="str">
        <f t="shared" si="9"/>
        <v/>
      </c>
      <c r="Z91" s="80" t="str">
        <f t="shared" si="9"/>
        <v/>
      </c>
      <c r="AA91" s="80" t="str">
        <f t="shared" si="9"/>
        <v/>
      </c>
      <c r="AB91" s="80" t="str">
        <f t="shared" si="9"/>
        <v/>
      </c>
      <c r="AC91" s="87" t="str">
        <f t="shared" si="9"/>
        <v/>
      </c>
    </row>
    <row r="92" spans="1:29" x14ac:dyDescent="0.35">
      <c r="A92"/>
      <c r="B92" s="95"/>
      <c r="D92" s="96"/>
      <c r="F92" s="86" t="str">
        <f t="shared" si="8"/>
        <v/>
      </c>
      <c r="G92" s="80" t="str">
        <f t="shared" si="8"/>
        <v/>
      </c>
      <c r="H92" s="80" t="str">
        <f t="shared" si="8"/>
        <v/>
      </c>
      <c r="I92" s="80" t="str">
        <f t="shared" si="8"/>
        <v/>
      </c>
      <c r="J92" s="80" t="str">
        <f t="shared" si="8"/>
        <v/>
      </c>
      <c r="K92" s="80" t="str">
        <f t="shared" si="8"/>
        <v/>
      </c>
      <c r="L92" s="80" t="str">
        <f t="shared" si="8"/>
        <v/>
      </c>
      <c r="M92" s="80" t="str">
        <f t="shared" si="8"/>
        <v/>
      </c>
      <c r="N92" s="80" t="str">
        <f t="shared" si="8"/>
        <v/>
      </c>
      <c r="O92" s="80" t="str">
        <f t="shared" si="8"/>
        <v/>
      </c>
      <c r="P92" s="80" t="str">
        <f t="shared" si="9"/>
        <v/>
      </c>
      <c r="Q92" s="80" t="str">
        <f t="shared" si="9"/>
        <v/>
      </c>
      <c r="R92" s="80" t="str">
        <f t="shared" si="9"/>
        <v/>
      </c>
      <c r="S92" s="80" t="str">
        <f t="shared" si="9"/>
        <v/>
      </c>
      <c r="T92" s="80" t="str">
        <f t="shared" si="9"/>
        <v/>
      </c>
      <c r="U92" s="80" t="str">
        <f t="shared" si="9"/>
        <v/>
      </c>
      <c r="V92" s="80" t="str">
        <f t="shared" si="9"/>
        <v/>
      </c>
      <c r="W92" s="80" t="str">
        <f t="shared" si="9"/>
        <v/>
      </c>
      <c r="X92" s="80" t="str">
        <f t="shared" si="9"/>
        <v/>
      </c>
      <c r="Y92" s="80" t="str">
        <f t="shared" si="9"/>
        <v/>
      </c>
      <c r="Z92" s="80" t="str">
        <f t="shared" si="9"/>
        <v/>
      </c>
      <c r="AA92" s="80" t="str">
        <f t="shared" si="9"/>
        <v/>
      </c>
      <c r="AB92" s="80" t="str">
        <f t="shared" si="9"/>
        <v/>
      </c>
      <c r="AC92" s="87" t="str">
        <f t="shared" si="9"/>
        <v/>
      </c>
    </row>
    <row r="93" spans="1:29" x14ac:dyDescent="0.35">
      <c r="A93"/>
      <c r="B93" s="95"/>
      <c r="D93" s="96"/>
      <c r="F93" s="86" t="str">
        <f t="shared" si="8"/>
        <v/>
      </c>
      <c r="G93" s="80" t="str">
        <f t="shared" si="8"/>
        <v/>
      </c>
      <c r="H93" s="80" t="str">
        <f t="shared" si="8"/>
        <v/>
      </c>
      <c r="I93" s="80" t="str">
        <f t="shared" si="8"/>
        <v/>
      </c>
      <c r="J93" s="80" t="str">
        <f t="shared" si="8"/>
        <v/>
      </c>
      <c r="K93" s="80" t="str">
        <f t="shared" si="8"/>
        <v/>
      </c>
      <c r="L93" s="80" t="str">
        <f t="shared" si="8"/>
        <v/>
      </c>
      <c r="M93" s="80" t="str">
        <f t="shared" si="8"/>
        <v/>
      </c>
      <c r="N93" s="80" t="str">
        <f t="shared" si="8"/>
        <v/>
      </c>
      <c r="O93" s="80" t="str">
        <f t="shared" si="8"/>
        <v/>
      </c>
      <c r="P93" s="80" t="str">
        <f t="shared" si="9"/>
        <v/>
      </c>
      <c r="Q93" s="80" t="str">
        <f t="shared" si="9"/>
        <v/>
      </c>
      <c r="R93" s="80" t="str">
        <f t="shared" si="9"/>
        <v/>
      </c>
      <c r="S93" s="80" t="str">
        <f t="shared" si="9"/>
        <v/>
      </c>
      <c r="T93" s="80" t="str">
        <f t="shared" si="9"/>
        <v/>
      </c>
      <c r="U93" s="80" t="str">
        <f t="shared" si="9"/>
        <v/>
      </c>
      <c r="V93" s="80" t="str">
        <f t="shared" si="9"/>
        <v/>
      </c>
      <c r="W93" s="80" t="str">
        <f t="shared" si="9"/>
        <v/>
      </c>
      <c r="X93" s="80" t="str">
        <f t="shared" si="9"/>
        <v/>
      </c>
      <c r="Y93" s="80" t="str">
        <f t="shared" si="9"/>
        <v/>
      </c>
      <c r="Z93" s="80" t="str">
        <f t="shared" si="9"/>
        <v/>
      </c>
      <c r="AA93" s="80" t="str">
        <f t="shared" si="9"/>
        <v/>
      </c>
      <c r="AB93" s="80" t="str">
        <f t="shared" si="9"/>
        <v/>
      </c>
      <c r="AC93" s="87" t="str">
        <f t="shared" si="9"/>
        <v/>
      </c>
    </row>
    <row r="94" spans="1:29" x14ac:dyDescent="0.35">
      <c r="A94"/>
      <c r="B94" s="95"/>
      <c r="D94" s="96"/>
      <c r="F94" s="86" t="str">
        <f t="shared" si="8"/>
        <v/>
      </c>
      <c r="G94" s="80" t="str">
        <f t="shared" si="8"/>
        <v/>
      </c>
      <c r="H94" s="80" t="str">
        <f t="shared" si="8"/>
        <v/>
      </c>
      <c r="I94" s="80" t="str">
        <f t="shared" si="8"/>
        <v/>
      </c>
      <c r="J94" s="80" t="str">
        <f t="shared" si="8"/>
        <v/>
      </c>
      <c r="K94" s="80" t="str">
        <f t="shared" si="8"/>
        <v/>
      </c>
      <c r="L94" s="80" t="str">
        <f t="shared" si="8"/>
        <v/>
      </c>
      <c r="M94" s="80" t="str">
        <f t="shared" si="8"/>
        <v/>
      </c>
      <c r="N94" s="80" t="str">
        <f t="shared" si="8"/>
        <v/>
      </c>
      <c r="O94" s="80" t="str">
        <f t="shared" si="8"/>
        <v/>
      </c>
      <c r="P94" s="80" t="str">
        <f t="shared" si="9"/>
        <v/>
      </c>
      <c r="Q94" s="80" t="str">
        <f t="shared" si="9"/>
        <v/>
      </c>
      <c r="R94" s="80" t="str">
        <f t="shared" si="9"/>
        <v/>
      </c>
      <c r="S94" s="80" t="str">
        <f t="shared" si="9"/>
        <v/>
      </c>
      <c r="T94" s="80" t="str">
        <f t="shared" si="9"/>
        <v/>
      </c>
      <c r="U94" s="80" t="str">
        <f t="shared" si="9"/>
        <v/>
      </c>
      <c r="V94" s="80" t="str">
        <f t="shared" si="9"/>
        <v/>
      </c>
      <c r="W94" s="80" t="str">
        <f t="shared" si="9"/>
        <v/>
      </c>
      <c r="X94" s="80" t="str">
        <f t="shared" si="9"/>
        <v/>
      </c>
      <c r="Y94" s="80" t="str">
        <f t="shared" si="9"/>
        <v/>
      </c>
      <c r="Z94" s="80" t="str">
        <f t="shared" si="9"/>
        <v/>
      </c>
      <c r="AA94" s="80" t="str">
        <f t="shared" si="9"/>
        <v/>
      </c>
      <c r="AB94" s="80" t="str">
        <f t="shared" si="9"/>
        <v/>
      </c>
      <c r="AC94" s="87" t="str">
        <f t="shared" si="9"/>
        <v/>
      </c>
    </row>
    <row r="95" spans="1:29" x14ac:dyDescent="0.35">
      <c r="A95"/>
      <c r="B95" s="95"/>
      <c r="D95" s="96"/>
      <c r="F95" s="86" t="str">
        <f t="shared" si="8"/>
        <v/>
      </c>
      <c r="G95" s="80" t="str">
        <f t="shared" si="8"/>
        <v/>
      </c>
      <c r="H95" s="80" t="str">
        <f t="shared" si="8"/>
        <v/>
      </c>
      <c r="I95" s="80" t="str">
        <f t="shared" si="8"/>
        <v/>
      </c>
      <c r="J95" s="80" t="str">
        <f t="shared" si="8"/>
        <v/>
      </c>
      <c r="K95" s="80" t="str">
        <f t="shared" si="8"/>
        <v/>
      </c>
      <c r="L95" s="80" t="str">
        <f t="shared" si="8"/>
        <v/>
      </c>
      <c r="M95" s="80" t="str">
        <f t="shared" si="8"/>
        <v/>
      </c>
      <c r="N95" s="80" t="str">
        <f t="shared" si="8"/>
        <v/>
      </c>
      <c r="O95" s="80" t="str">
        <f t="shared" si="8"/>
        <v/>
      </c>
      <c r="P95" s="80" t="str">
        <f t="shared" si="9"/>
        <v/>
      </c>
      <c r="Q95" s="80" t="str">
        <f t="shared" si="9"/>
        <v/>
      </c>
      <c r="R95" s="80" t="str">
        <f t="shared" si="9"/>
        <v/>
      </c>
      <c r="S95" s="80" t="str">
        <f t="shared" si="9"/>
        <v/>
      </c>
      <c r="T95" s="80" t="str">
        <f t="shared" si="9"/>
        <v/>
      </c>
      <c r="U95" s="80" t="str">
        <f t="shared" si="9"/>
        <v/>
      </c>
      <c r="V95" s="80" t="str">
        <f t="shared" si="9"/>
        <v/>
      </c>
      <c r="W95" s="80" t="str">
        <f t="shared" si="9"/>
        <v/>
      </c>
      <c r="X95" s="80" t="str">
        <f t="shared" si="9"/>
        <v/>
      </c>
      <c r="Y95" s="80" t="str">
        <f t="shared" si="9"/>
        <v/>
      </c>
      <c r="Z95" s="80" t="str">
        <f t="shared" si="9"/>
        <v/>
      </c>
      <c r="AA95" s="80" t="str">
        <f t="shared" si="9"/>
        <v/>
      </c>
      <c r="AB95" s="80" t="str">
        <f t="shared" si="9"/>
        <v/>
      </c>
      <c r="AC95" s="87" t="str">
        <f t="shared" si="9"/>
        <v/>
      </c>
    </row>
    <row r="96" spans="1:29" x14ac:dyDescent="0.35">
      <c r="A96"/>
      <c r="B96" s="95"/>
      <c r="D96" s="96"/>
      <c r="F96" s="86" t="str">
        <f t="shared" si="8"/>
        <v/>
      </c>
      <c r="G96" s="80" t="str">
        <f t="shared" si="8"/>
        <v/>
      </c>
      <c r="H96" s="80" t="str">
        <f t="shared" si="8"/>
        <v/>
      </c>
      <c r="I96" s="80" t="str">
        <f t="shared" si="8"/>
        <v/>
      </c>
      <c r="J96" s="80" t="str">
        <f t="shared" si="8"/>
        <v/>
      </c>
      <c r="K96" s="80" t="str">
        <f t="shared" si="8"/>
        <v/>
      </c>
      <c r="L96" s="80" t="str">
        <f t="shared" si="8"/>
        <v/>
      </c>
      <c r="M96" s="80" t="str">
        <f t="shared" si="8"/>
        <v/>
      </c>
      <c r="N96" s="80" t="str">
        <f t="shared" si="8"/>
        <v/>
      </c>
      <c r="O96" s="80" t="str">
        <f t="shared" si="8"/>
        <v/>
      </c>
      <c r="P96" s="80" t="str">
        <f t="shared" si="9"/>
        <v/>
      </c>
      <c r="Q96" s="80" t="str">
        <f t="shared" si="9"/>
        <v/>
      </c>
      <c r="R96" s="80" t="str">
        <f t="shared" si="9"/>
        <v/>
      </c>
      <c r="S96" s="80" t="str">
        <f t="shared" si="9"/>
        <v/>
      </c>
      <c r="T96" s="80" t="str">
        <f t="shared" ref="P96:AC106" si="10">IF(AND(T$6&gt;=$C96, T$6&lt;=$D96),"1","")</f>
        <v/>
      </c>
      <c r="U96" s="80" t="str">
        <f t="shared" si="10"/>
        <v/>
      </c>
      <c r="V96" s="80" t="str">
        <f t="shared" si="10"/>
        <v/>
      </c>
      <c r="W96" s="80" t="str">
        <f t="shared" si="10"/>
        <v/>
      </c>
      <c r="X96" s="80" t="str">
        <f t="shared" si="10"/>
        <v/>
      </c>
      <c r="Y96" s="80" t="str">
        <f t="shared" si="10"/>
        <v/>
      </c>
      <c r="Z96" s="80" t="str">
        <f t="shared" si="10"/>
        <v/>
      </c>
      <c r="AA96" s="80" t="str">
        <f t="shared" si="10"/>
        <v/>
      </c>
      <c r="AB96" s="80" t="str">
        <f t="shared" si="10"/>
        <v/>
      </c>
      <c r="AC96" s="87" t="str">
        <f t="shared" si="10"/>
        <v/>
      </c>
    </row>
    <row r="97" spans="1:29" x14ac:dyDescent="0.35">
      <c r="A97"/>
      <c r="B97" s="95"/>
      <c r="D97" s="96"/>
      <c r="F97" s="86" t="str">
        <f t="shared" si="8"/>
        <v/>
      </c>
      <c r="G97" s="80" t="str">
        <f t="shared" si="8"/>
        <v/>
      </c>
      <c r="H97" s="80" t="str">
        <f t="shared" si="8"/>
        <v/>
      </c>
      <c r="I97" s="80" t="str">
        <f t="shared" si="8"/>
        <v/>
      </c>
      <c r="J97" s="80" t="str">
        <f t="shared" si="8"/>
        <v/>
      </c>
      <c r="K97" s="80" t="str">
        <f t="shared" si="8"/>
        <v/>
      </c>
      <c r="L97" s="80" t="str">
        <f t="shared" si="8"/>
        <v/>
      </c>
      <c r="M97" s="80" t="str">
        <f t="shared" si="8"/>
        <v/>
      </c>
      <c r="N97" s="80" t="str">
        <f t="shared" si="8"/>
        <v/>
      </c>
      <c r="O97" s="80" t="str">
        <f t="shared" si="8"/>
        <v/>
      </c>
      <c r="P97" s="80" t="str">
        <f t="shared" si="10"/>
        <v/>
      </c>
      <c r="Q97" s="80" t="str">
        <f t="shared" si="10"/>
        <v/>
      </c>
      <c r="R97" s="80" t="str">
        <f t="shared" si="10"/>
        <v/>
      </c>
      <c r="S97" s="80" t="str">
        <f t="shared" si="10"/>
        <v/>
      </c>
      <c r="T97" s="80" t="str">
        <f t="shared" si="10"/>
        <v/>
      </c>
      <c r="U97" s="80" t="str">
        <f t="shared" si="10"/>
        <v/>
      </c>
      <c r="V97" s="80" t="str">
        <f t="shared" si="10"/>
        <v/>
      </c>
      <c r="W97" s="80" t="str">
        <f t="shared" si="10"/>
        <v/>
      </c>
      <c r="X97" s="80" t="str">
        <f t="shared" si="10"/>
        <v/>
      </c>
      <c r="Y97" s="80" t="str">
        <f t="shared" si="10"/>
        <v/>
      </c>
      <c r="Z97" s="80" t="str">
        <f t="shared" si="10"/>
        <v/>
      </c>
      <c r="AA97" s="80" t="str">
        <f t="shared" si="10"/>
        <v/>
      </c>
      <c r="AB97" s="80" t="str">
        <f t="shared" si="10"/>
        <v/>
      </c>
      <c r="AC97" s="87" t="str">
        <f t="shared" si="10"/>
        <v/>
      </c>
    </row>
    <row r="98" spans="1:29" x14ac:dyDescent="0.35">
      <c r="A98"/>
      <c r="B98" s="95"/>
      <c r="D98" s="96"/>
      <c r="F98" s="86" t="str">
        <f t="shared" si="8"/>
        <v/>
      </c>
      <c r="G98" s="80" t="str">
        <f t="shared" si="8"/>
        <v/>
      </c>
      <c r="H98" s="80" t="str">
        <f t="shared" si="8"/>
        <v/>
      </c>
      <c r="I98" s="80" t="str">
        <f t="shared" si="8"/>
        <v/>
      </c>
      <c r="J98" s="80" t="str">
        <f t="shared" si="8"/>
        <v/>
      </c>
      <c r="K98" s="80" t="str">
        <f t="shared" si="8"/>
        <v/>
      </c>
      <c r="L98" s="80" t="str">
        <f t="shared" si="8"/>
        <v/>
      </c>
      <c r="M98" s="80" t="str">
        <f t="shared" si="8"/>
        <v/>
      </c>
      <c r="N98" s="80" t="str">
        <f t="shared" si="8"/>
        <v/>
      </c>
      <c r="O98" s="80" t="str">
        <f t="shared" ref="F98:O106" si="11">IF(AND(O$6&gt;=$C98, O$6&lt;=$D98),"1","")</f>
        <v/>
      </c>
      <c r="P98" s="80" t="str">
        <f t="shared" si="10"/>
        <v/>
      </c>
      <c r="Q98" s="80" t="str">
        <f t="shared" si="10"/>
        <v/>
      </c>
      <c r="R98" s="80" t="str">
        <f t="shared" si="10"/>
        <v/>
      </c>
      <c r="S98" s="80" t="str">
        <f t="shared" si="10"/>
        <v/>
      </c>
      <c r="T98" s="80" t="str">
        <f t="shared" si="10"/>
        <v/>
      </c>
      <c r="U98" s="80" t="str">
        <f t="shared" si="10"/>
        <v/>
      </c>
      <c r="V98" s="80" t="str">
        <f t="shared" si="10"/>
        <v/>
      </c>
      <c r="W98" s="80" t="str">
        <f t="shared" si="10"/>
        <v/>
      </c>
      <c r="X98" s="80" t="str">
        <f t="shared" si="10"/>
        <v/>
      </c>
      <c r="Y98" s="80" t="str">
        <f t="shared" si="10"/>
        <v/>
      </c>
      <c r="Z98" s="80" t="str">
        <f t="shared" si="10"/>
        <v/>
      </c>
      <c r="AA98" s="80" t="str">
        <f t="shared" si="10"/>
        <v/>
      </c>
      <c r="AB98" s="80" t="str">
        <f t="shared" si="10"/>
        <v/>
      </c>
      <c r="AC98" s="87" t="str">
        <f t="shared" si="10"/>
        <v/>
      </c>
    </row>
    <row r="99" spans="1:29" x14ac:dyDescent="0.35">
      <c r="A99"/>
      <c r="B99" s="95"/>
      <c r="D99" s="96"/>
      <c r="F99" s="86" t="str">
        <f t="shared" si="11"/>
        <v/>
      </c>
      <c r="G99" s="80" t="str">
        <f t="shared" si="11"/>
        <v/>
      </c>
      <c r="H99" s="80" t="str">
        <f t="shared" si="11"/>
        <v/>
      </c>
      <c r="I99" s="80" t="str">
        <f t="shared" si="11"/>
        <v/>
      </c>
      <c r="J99" s="80" t="str">
        <f t="shared" si="11"/>
        <v/>
      </c>
      <c r="K99" s="80" t="str">
        <f t="shared" si="11"/>
        <v/>
      </c>
      <c r="L99" s="80" t="str">
        <f t="shared" si="11"/>
        <v/>
      </c>
      <c r="M99" s="80" t="str">
        <f t="shared" si="11"/>
        <v/>
      </c>
      <c r="N99" s="80" t="str">
        <f t="shared" si="11"/>
        <v/>
      </c>
      <c r="O99" s="80" t="str">
        <f t="shared" si="11"/>
        <v/>
      </c>
      <c r="P99" s="80" t="str">
        <f t="shared" si="10"/>
        <v/>
      </c>
      <c r="Q99" s="80" t="str">
        <f t="shared" si="10"/>
        <v/>
      </c>
      <c r="R99" s="80" t="str">
        <f t="shared" si="10"/>
        <v/>
      </c>
      <c r="S99" s="80" t="str">
        <f t="shared" si="10"/>
        <v/>
      </c>
      <c r="T99" s="80" t="str">
        <f t="shared" si="10"/>
        <v/>
      </c>
      <c r="U99" s="80" t="str">
        <f t="shared" si="10"/>
        <v/>
      </c>
      <c r="V99" s="80" t="str">
        <f t="shared" si="10"/>
        <v/>
      </c>
      <c r="W99" s="80" t="str">
        <f t="shared" si="10"/>
        <v/>
      </c>
      <c r="X99" s="80" t="str">
        <f t="shared" si="10"/>
        <v/>
      </c>
      <c r="Y99" s="80" t="str">
        <f t="shared" si="10"/>
        <v/>
      </c>
      <c r="Z99" s="80" t="str">
        <f t="shared" si="10"/>
        <v/>
      </c>
      <c r="AA99" s="80" t="str">
        <f t="shared" si="10"/>
        <v/>
      </c>
      <c r="AB99" s="80" t="str">
        <f t="shared" si="10"/>
        <v/>
      </c>
      <c r="AC99" s="87" t="str">
        <f t="shared" si="10"/>
        <v/>
      </c>
    </row>
    <row r="100" spans="1:29" x14ac:dyDescent="0.35">
      <c r="A100"/>
      <c r="B100" s="95"/>
      <c r="D100" s="96"/>
      <c r="F100" s="86" t="str">
        <f t="shared" si="11"/>
        <v/>
      </c>
      <c r="G100" s="80" t="str">
        <f t="shared" si="11"/>
        <v/>
      </c>
      <c r="H100" s="80" t="str">
        <f t="shared" si="11"/>
        <v/>
      </c>
      <c r="I100" s="80" t="str">
        <f t="shared" si="11"/>
        <v/>
      </c>
      <c r="J100" s="80" t="str">
        <f t="shared" si="11"/>
        <v/>
      </c>
      <c r="K100" s="80" t="str">
        <f t="shared" si="11"/>
        <v/>
      </c>
      <c r="L100" s="80" t="str">
        <f t="shared" si="11"/>
        <v/>
      </c>
      <c r="M100" s="80" t="str">
        <f t="shared" si="11"/>
        <v/>
      </c>
      <c r="N100" s="80" t="str">
        <f t="shared" si="11"/>
        <v/>
      </c>
      <c r="O100" s="80" t="str">
        <f t="shared" si="11"/>
        <v/>
      </c>
      <c r="P100" s="80" t="str">
        <f t="shared" si="10"/>
        <v/>
      </c>
      <c r="Q100" s="80" t="str">
        <f t="shared" si="10"/>
        <v/>
      </c>
      <c r="R100" s="80" t="str">
        <f t="shared" si="10"/>
        <v/>
      </c>
      <c r="S100" s="80" t="str">
        <f t="shared" si="10"/>
        <v/>
      </c>
      <c r="T100" s="80" t="str">
        <f t="shared" si="10"/>
        <v/>
      </c>
      <c r="U100" s="80" t="str">
        <f t="shared" si="10"/>
        <v/>
      </c>
      <c r="V100" s="80" t="str">
        <f t="shared" si="10"/>
        <v/>
      </c>
      <c r="W100" s="80" t="str">
        <f t="shared" si="10"/>
        <v/>
      </c>
      <c r="X100" s="80" t="str">
        <f t="shared" si="10"/>
        <v/>
      </c>
      <c r="Y100" s="80" t="str">
        <f t="shared" si="10"/>
        <v/>
      </c>
      <c r="Z100" s="80" t="str">
        <f t="shared" si="10"/>
        <v/>
      </c>
      <c r="AA100" s="80" t="str">
        <f t="shared" si="10"/>
        <v/>
      </c>
      <c r="AB100" s="80" t="str">
        <f t="shared" si="10"/>
        <v/>
      </c>
      <c r="AC100" s="87" t="str">
        <f t="shared" si="10"/>
        <v/>
      </c>
    </row>
    <row r="101" spans="1:29" x14ac:dyDescent="0.35">
      <c r="A101"/>
      <c r="B101" s="95"/>
      <c r="D101" s="96"/>
      <c r="F101" s="86" t="str">
        <f t="shared" si="11"/>
        <v/>
      </c>
      <c r="G101" s="80" t="str">
        <f t="shared" si="11"/>
        <v/>
      </c>
      <c r="H101" s="80" t="str">
        <f t="shared" si="11"/>
        <v/>
      </c>
      <c r="I101" s="80" t="str">
        <f t="shared" si="11"/>
        <v/>
      </c>
      <c r="J101" s="80" t="str">
        <f t="shared" si="11"/>
        <v/>
      </c>
      <c r="K101" s="80" t="str">
        <f t="shared" si="11"/>
        <v/>
      </c>
      <c r="L101" s="80" t="str">
        <f t="shared" si="11"/>
        <v/>
      </c>
      <c r="M101" s="80" t="str">
        <f t="shared" si="11"/>
        <v/>
      </c>
      <c r="N101" s="80" t="str">
        <f t="shared" si="11"/>
        <v/>
      </c>
      <c r="O101" s="80" t="str">
        <f t="shared" si="11"/>
        <v/>
      </c>
      <c r="P101" s="80" t="str">
        <f t="shared" si="10"/>
        <v/>
      </c>
      <c r="Q101" s="80" t="str">
        <f t="shared" si="10"/>
        <v/>
      </c>
      <c r="R101" s="80" t="str">
        <f t="shared" si="10"/>
        <v/>
      </c>
      <c r="S101" s="80" t="str">
        <f t="shared" si="10"/>
        <v/>
      </c>
      <c r="T101" s="80" t="str">
        <f t="shared" si="10"/>
        <v/>
      </c>
      <c r="U101" s="80" t="str">
        <f t="shared" si="10"/>
        <v/>
      </c>
      <c r="V101" s="80" t="str">
        <f t="shared" si="10"/>
        <v/>
      </c>
      <c r="W101" s="80" t="str">
        <f t="shared" si="10"/>
        <v/>
      </c>
      <c r="X101" s="80" t="str">
        <f t="shared" si="10"/>
        <v/>
      </c>
      <c r="Y101" s="80" t="str">
        <f t="shared" si="10"/>
        <v/>
      </c>
      <c r="Z101" s="80" t="str">
        <f t="shared" si="10"/>
        <v/>
      </c>
      <c r="AA101" s="80" t="str">
        <f t="shared" si="10"/>
        <v/>
      </c>
      <c r="AB101" s="80" t="str">
        <f t="shared" si="10"/>
        <v/>
      </c>
      <c r="AC101" s="87" t="str">
        <f t="shared" si="10"/>
        <v/>
      </c>
    </row>
    <row r="102" spans="1:29" x14ac:dyDescent="0.35">
      <c r="A102"/>
      <c r="B102" s="95"/>
      <c r="D102" s="96"/>
      <c r="F102" s="86" t="str">
        <f t="shared" si="11"/>
        <v/>
      </c>
      <c r="G102" s="80" t="str">
        <f t="shared" si="11"/>
        <v/>
      </c>
      <c r="H102" s="80" t="str">
        <f t="shared" si="11"/>
        <v/>
      </c>
      <c r="I102" s="80" t="str">
        <f t="shared" si="11"/>
        <v/>
      </c>
      <c r="J102" s="80" t="str">
        <f t="shared" si="11"/>
        <v/>
      </c>
      <c r="K102" s="80" t="str">
        <f t="shared" si="11"/>
        <v/>
      </c>
      <c r="L102" s="80" t="str">
        <f t="shared" si="11"/>
        <v/>
      </c>
      <c r="M102" s="80" t="str">
        <f t="shared" si="11"/>
        <v/>
      </c>
      <c r="N102" s="80" t="str">
        <f t="shared" si="11"/>
        <v/>
      </c>
      <c r="O102" s="80" t="str">
        <f t="shared" si="11"/>
        <v/>
      </c>
      <c r="P102" s="80" t="str">
        <f t="shared" si="10"/>
        <v/>
      </c>
      <c r="Q102" s="80" t="str">
        <f t="shared" si="10"/>
        <v/>
      </c>
      <c r="R102" s="80" t="str">
        <f t="shared" si="10"/>
        <v/>
      </c>
      <c r="S102" s="80" t="str">
        <f t="shared" si="10"/>
        <v/>
      </c>
      <c r="T102" s="80" t="str">
        <f t="shared" si="10"/>
        <v/>
      </c>
      <c r="U102" s="80" t="str">
        <f t="shared" si="10"/>
        <v/>
      </c>
      <c r="V102" s="80" t="str">
        <f t="shared" si="10"/>
        <v/>
      </c>
      <c r="W102" s="80" t="str">
        <f t="shared" si="10"/>
        <v/>
      </c>
      <c r="X102" s="80" t="str">
        <f t="shared" si="10"/>
        <v/>
      </c>
      <c r="Y102" s="80" t="str">
        <f t="shared" si="10"/>
        <v/>
      </c>
      <c r="Z102" s="80" t="str">
        <f t="shared" si="10"/>
        <v/>
      </c>
      <c r="AA102" s="80" t="str">
        <f t="shared" si="10"/>
        <v/>
      </c>
      <c r="AB102" s="80" t="str">
        <f t="shared" si="10"/>
        <v/>
      </c>
      <c r="AC102" s="87" t="str">
        <f t="shared" si="10"/>
        <v/>
      </c>
    </row>
    <row r="103" spans="1:29" x14ac:dyDescent="0.35">
      <c r="A103"/>
      <c r="B103" s="95"/>
      <c r="D103" s="96"/>
      <c r="F103" s="86" t="str">
        <f t="shared" si="11"/>
        <v/>
      </c>
      <c r="G103" s="80" t="str">
        <f t="shared" si="11"/>
        <v/>
      </c>
      <c r="H103" s="80" t="str">
        <f t="shared" si="11"/>
        <v/>
      </c>
      <c r="I103" s="80" t="str">
        <f t="shared" si="11"/>
        <v/>
      </c>
      <c r="J103" s="80" t="str">
        <f t="shared" si="11"/>
        <v/>
      </c>
      <c r="K103" s="80" t="str">
        <f t="shared" si="11"/>
        <v/>
      </c>
      <c r="L103" s="80" t="str">
        <f t="shared" si="11"/>
        <v/>
      </c>
      <c r="M103" s="80" t="str">
        <f t="shared" si="11"/>
        <v/>
      </c>
      <c r="N103" s="80" t="str">
        <f t="shared" si="11"/>
        <v/>
      </c>
      <c r="O103" s="80" t="str">
        <f t="shared" si="11"/>
        <v/>
      </c>
      <c r="P103" s="80" t="str">
        <f t="shared" si="10"/>
        <v/>
      </c>
      <c r="Q103" s="80" t="str">
        <f t="shared" si="10"/>
        <v/>
      </c>
      <c r="R103" s="80" t="str">
        <f t="shared" si="10"/>
        <v/>
      </c>
      <c r="S103" s="80" t="str">
        <f t="shared" si="10"/>
        <v/>
      </c>
      <c r="T103" s="80" t="str">
        <f t="shared" si="10"/>
        <v/>
      </c>
      <c r="U103" s="80" t="str">
        <f t="shared" si="10"/>
        <v/>
      </c>
      <c r="V103" s="80" t="str">
        <f t="shared" si="10"/>
        <v/>
      </c>
      <c r="W103" s="80" t="str">
        <f t="shared" si="10"/>
        <v/>
      </c>
      <c r="X103" s="80" t="str">
        <f t="shared" si="10"/>
        <v/>
      </c>
      <c r="Y103" s="80" t="str">
        <f t="shared" si="10"/>
        <v/>
      </c>
      <c r="Z103" s="80" t="str">
        <f t="shared" si="10"/>
        <v/>
      </c>
      <c r="AA103" s="80" t="str">
        <f t="shared" si="10"/>
        <v/>
      </c>
      <c r="AB103" s="80" t="str">
        <f t="shared" si="10"/>
        <v/>
      </c>
      <c r="AC103" s="87" t="str">
        <f t="shared" si="10"/>
        <v/>
      </c>
    </row>
    <row r="104" spans="1:29" x14ac:dyDescent="0.35">
      <c r="A104"/>
      <c r="B104" s="95"/>
      <c r="D104" s="96"/>
      <c r="F104" s="86" t="str">
        <f t="shared" si="11"/>
        <v/>
      </c>
      <c r="G104" s="80" t="str">
        <f t="shared" si="11"/>
        <v/>
      </c>
      <c r="H104" s="80" t="str">
        <f t="shared" si="11"/>
        <v/>
      </c>
      <c r="I104" s="80" t="str">
        <f t="shared" si="11"/>
        <v/>
      </c>
      <c r="J104" s="80" t="str">
        <f t="shared" si="11"/>
        <v/>
      </c>
      <c r="K104" s="80" t="str">
        <f t="shared" si="11"/>
        <v/>
      </c>
      <c r="L104" s="80" t="str">
        <f t="shared" si="11"/>
        <v/>
      </c>
      <c r="M104" s="80" t="str">
        <f t="shared" si="11"/>
        <v/>
      </c>
      <c r="N104" s="80" t="str">
        <f t="shared" si="11"/>
        <v/>
      </c>
      <c r="O104" s="80" t="str">
        <f t="shared" si="11"/>
        <v/>
      </c>
      <c r="P104" s="80" t="str">
        <f t="shared" si="10"/>
        <v/>
      </c>
      <c r="Q104" s="80" t="str">
        <f t="shared" si="10"/>
        <v/>
      </c>
      <c r="R104" s="80" t="str">
        <f t="shared" si="10"/>
        <v/>
      </c>
      <c r="S104" s="80" t="str">
        <f t="shared" si="10"/>
        <v/>
      </c>
      <c r="T104" s="80" t="str">
        <f t="shared" si="10"/>
        <v/>
      </c>
      <c r="U104" s="80" t="str">
        <f t="shared" si="10"/>
        <v/>
      </c>
      <c r="V104" s="80" t="str">
        <f t="shared" si="10"/>
        <v/>
      </c>
      <c r="W104" s="80" t="str">
        <f t="shared" si="10"/>
        <v/>
      </c>
      <c r="X104" s="80" t="str">
        <f t="shared" si="10"/>
        <v/>
      </c>
      <c r="Y104" s="80" t="str">
        <f t="shared" si="10"/>
        <v/>
      </c>
      <c r="Z104" s="80" t="str">
        <f t="shared" si="10"/>
        <v/>
      </c>
      <c r="AA104" s="80" t="str">
        <f t="shared" si="10"/>
        <v/>
      </c>
      <c r="AB104" s="80" t="str">
        <f t="shared" si="10"/>
        <v/>
      </c>
      <c r="AC104" s="87" t="str">
        <f t="shared" si="10"/>
        <v/>
      </c>
    </row>
    <row r="105" spans="1:29" x14ac:dyDescent="0.35">
      <c r="A105"/>
      <c r="B105" s="95"/>
      <c r="D105" s="96"/>
      <c r="F105" s="86" t="str">
        <f t="shared" si="11"/>
        <v/>
      </c>
      <c r="G105" s="80" t="str">
        <f t="shared" si="11"/>
        <v/>
      </c>
      <c r="H105" s="80" t="str">
        <f t="shared" si="11"/>
        <v/>
      </c>
      <c r="I105" s="80" t="str">
        <f t="shared" si="11"/>
        <v/>
      </c>
      <c r="J105" s="80" t="str">
        <f t="shared" si="11"/>
        <v/>
      </c>
      <c r="K105" s="80" t="str">
        <f t="shared" si="11"/>
        <v/>
      </c>
      <c r="L105" s="80" t="str">
        <f t="shared" si="11"/>
        <v/>
      </c>
      <c r="M105" s="80" t="str">
        <f t="shared" si="11"/>
        <v/>
      </c>
      <c r="N105" s="80" t="str">
        <f t="shared" si="11"/>
        <v/>
      </c>
      <c r="O105" s="80" t="str">
        <f t="shared" si="11"/>
        <v/>
      </c>
      <c r="P105" s="80" t="str">
        <f t="shared" si="10"/>
        <v/>
      </c>
      <c r="Q105" s="80" t="str">
        <f t="shared" si="10"/>
        <v/>
      </c>
      <c r="R105" s="80" t="str">
        <f t="shared" si="10"/>
        <v/>
      </c>
      <c r="S105" s="80" t="str">
        <f t="shared" si="10"/>
        <v/>
      </c>
      <c r="T105" s="80" t="str">
        <f t="shared" si="10"/>
        <v/>
      </c>
      <c r="U105" s="80" t="str">
        <f t="shared" si="10"/>
        <v/>
      </c>
      <c r="V105" s="80" t="str">
        <f t="shared" si="10"/>
        <v/>
      </c>
      <c r="W105" s="80" t="str">
        <f t="shared" si="10"/>
        <v/>
      </c>
      <c r="X105" s="80" t="str">
        <f t="shared" si="10"/>
        <v/>
      </c>
      <c r="Y105" s="80" t="str">
        <f t="shared" si="10"/>
        <v/>
      </c>
      <c r="Z105" s="80" t="str">
        <f t="shared" si="10"/>
        <v/>
      </c>
      <c r="AA105" s="80" t="str">
        <f t="shared" si="10"/>
        <v/>
      </c>
      <c r="AB105" s="80" t="str">
        <f t="shared" si="10"/>
        <v/>
      </c>
      <c r="AC105" s="87" t="str">
        <f t="shared" si="10"/>
        <v/>
      </c>
    </row>
    <row r="106" spans="1:29" x14ac:dyDescent="0.35">
      <c r="A106"/>
      <c r="B106" s="97"/>
      <c r="C106" s="98"/>
      <c r="D106" s="99"/>
      <c r="F106" s="88" t="str">
        <f t="shared" si="11"/>
        <v/>
      </c>
      <c r="G106" s="89" t="str">
        <f t="shared" si="11"/>
        <v/>
      </c>
      <c r="H106" s="89" t="str">
        <f t="shared" si="11"/>
        <v/>
      </c>
      <c r="I106" s="89" t="str">
        <f t="shared" si="11"/>
        <v/>
      </c>
      <c r="J106" s="89" t="str">
        <f t="shared" si="11"/>
        <v/>
      </c>
      <c r="K106" s="89" t="str">
        <f t="shared" si="11"/>
        <v/>
      </c>
      <c r="L106" s="89" t="str">
        <f t="shared" si="11"/>
        <v/>
      </c>
      <c r="M106" s="89" t="str">
        <f t="shared" si="11"/>
        <v/>
      </c>
      <c r="N106" s="89" t="str">
        <f t="shared" si="11"/>
        <v/>
      </c>
      <c r="O106" s="89" t="str">
        <f t="shared" si="11"/>
        <v/>
      </c>
      <c r="P106" s="89" t="str">
        <f t="shared" si="10"/>
        <v/>
      </c>
      <c r="Q106" s="89" t="str">
        <f t="shared" si="10"/>
        <v/>
      </c>
      <c r="R106" s="89" t="str">
        <f t="shared" si="10"/>
        <v/>
      </c>
      <c r="S106" s="89" t="str">
        <f t="shared" si="10"/>
        <v/>
      </c>
      <c r="T106" s="89" t="str">
        <f t="shared" si="10"/>
        <v/>
      </c>
      <c r="U106" s="89" t="str">
        <f t="shared" si="10"/>
        <v/>
      </c>
      <c r="V106" s="89" t="str">
        <f t="shared" si="10"/>
        <v/>
      </c>
      <c r="W106" s="89" t="str">
        <f t="shared" si="10"/>
        <v/>
      </c>
      <c r="X106" s="89" t="str">
        <f t="shared" si="10"/>
        <v/>
      </c>
      <c r="Y106" s="89" t="str">
        <f t="shared" si="10"/>
        <v/>
      </c>
      <c r="Z106" s="89" t="str">
        <f t="shared" si="10"/>
        <v/>
      </c>
      <c r="AA106" s="89" t="str">
        <f t="shared" si="10"/>
        <v/>
      </c>
      <c r="AB106" s="89" t="str">
        <f t="shared" si="10"/>
        <v/>
      </c>
      <c r="AC106" s="90" t="str">
        <f t="shared" si="10"/>
        <v/>
      </c>
    </row>
    <row r="107" spans="1:29" x14ac:dyDescent="0.35">
      <c r="A107"/>
    </row>
    <row r="108" spans="1:29" x14ac:dyDescent="0.35">
      <c r="A108"/>
    </row>
    <row r="109" spans="1:29" x14ac:dyDescent="0.35">
      <c r="A109"/>
    </row>
    <row r="110" spans="1:29" x14ac:dyDescent="0.35">
      <c r="A110"/>
    </row>
    <row r="111" spans="1:29" x14ac:dyDescent="0.35">
      <c r="A111"/>
    </row>
    <row r="112" spans="1:29" x14ac:dyDescent="0.35">
      <c r="A112"/>
    </row>
    <row r="113" spans="1:1" x14ac:dyDescent="0.35">
      <c r="A113"/>
    </row>
    <row r="114" spans="1:1" x14ac:dyDescent="0.35">
      <c r="A114"/>
    </row>
    <row r="115" spans="1:1" x14ac:dyDescent="0.35">
      <c r="A115"/>
    </row>
    <row r="116" spans="1:1" x14ac:dyDescent="0.35">
      <c r="A116"/>
    </row>
    <row r="117" spans="1:1" x14ac:dyDescent="0.35">
      <c r="A117"/>
    </row>
    <row r="118" spans="1:1" x14ac:dyDescent="0.35">
      <c r="A118"/>
    </row>
    <row r="119" spans="1:1" x14ac:dyDescent="0.35">
      <c r="A119"/>
    </row>
    <row r="120" spans="1:1" x14ac:dyDescent="0.35">
      <c r="A120"/>
    </row>
    <row r="121" spans="1:1" x14ac:dyDescent="0.35">
      <c r="A121"/>
    </row>
    <row r="122" spans="1:1" x14ac:dyDescent="0.35">
      <c r="A122"/>
    </row>
    <row r="123" spans="1:1" x14ac:dyDescent="0.35">
      <c r="A123"/>
    </row>
    <row r="124" spans="1:1" x14ac:dyDescent="0.35">
      <c r="A124"/>
    </row>
    <row r="125" spans="1:1" x14ac:dyDescent="0.35">
      <c r="A125"/>
    </row>
    <row r="126" spans="1:1" x14ac:dyDescent="0.35">
      <c r="A126"/>
    </row>
    <row r="127" spans="1:1" x14ac:dyDescent="0.35">
      <c r="A127"/>
    </row>
    <row r="128" spans="1:1" x14ac:dyDescent="0.35">
      <c r="A128"/>
    </row>
    <row r="129" spans="1:1" x14ac:dyDescent="0.35">
      <c r="A129"/>
    </row>
    <row r="130" spans="1:1" x14ac:dyDescent="0.35">
      <c r="A130"/>
    </row>
    <row r="131" spans="1:1" x14ac:dyDescent="0.35">
      <c r="A131"/>
    </row>
    <row r="132" spans="1:1" x14ac:dyDescent="0.35">
      <c r="A132"/>
    </row>
    <row r="133" spans="1:1" x14ac:dyDescent="0.35">
      <c r="A133"/>
    </row>
    <row r="134" spans="1:1" x14ac:dyDescent="0.35">
      <c r="A134"/>
    </row>
    <row r="135" spans="1:1" x14ac:dyDescent="0.35">
      <c r="A135"/>
    </row>
    <row r="136" spans="1:1" x14ac:dyDescent="0.35">
      <c r="A136"/>
    </row>
    <row r="137" spans="1:1" x14ac:dyDescent="0.35">
      <c r="A137"/>
    </row>
    <row r="138" spans="1:1" x14ac:dyDescent="0.35">
      <c r="A138"/>
    </row>
    <row r="139" spans="1:1" x14ac:dyDescent="0.35">
      <c r="A139"/>
    </row>
    <row r="140" spans="1:1" x14ac:dyDescent="0.35">
      <c r="A140"/>
    </row>
    <row r="141" spans="1:1" x14ac:dyDescent="0.35">
      <c r="A141"/>
    </row>
    <row r="142" spans="1:1" x14ac:dyDescent="0.35">
      <c r="A142"/>
    </row>
    <row r="143" spans="1:1" x14ac:dyDescent="0.35">
      <c r="A143"/>
    </row>
    <row r="144" spans="1:1" x14ac:dyDescent="0.35">
      <c r="A144"/>
    </row>
    <row r="145" spans="1:1" x14ac:dyDescent="0.35">
      <c r="A145"/>
    </row>
    <row r="146" spans="1:1" x14ac:dyDescent="0.35">
      <c r="A146"/>
    </row>
    <row r="147" spans="1:1" x14ac:dyDescent="0.35">
      <c r="A147"/>
    </row>
    <row r="148" spans="1:1" x14ac:dyDescent="0.35">
      <c r="A148"/>
    </row>
    <row r="149" spans="1:1" x14ac:dyDescent="0.35">
      <c r="A149"/>
    </row>
    <row r="150" spans="1:1" x14ac:dyDescent="0.35">
      <c r="A150"/>
    </row>
    <row r="151" spans="1:1" x14ac:dyDescent="0.35">
      <c r="A151"/>
    </row>
    <row r="152" spans="1:1" x14ac:dyDescent="0.35">
      <c r="A152"/>
    </row>
    <row r="153" spans="1:1" x14ac:dyDescent="0.35">
      <c r="A153"/>
    </row>
    <row r="154" spans="1:1" x14ac:dyDescent="0.35">
      <c r="A154"/>
    </row>
    <row r="155" spans="1:1" x14ac:dyDescent="0.35">
      <c r="A155"/>
    </row>
    <row r="156" spans="1:1" x14ac:dyDescent="0.35">
      <c r="A156"/>
    </row>
    <row r="157" spans="1:1" x14ac:dyDescent="0.35">
      <c r="A157"/>
    </row>
    <row r="158" spans="1:1" x14ac:dyDescent="0.35">
      <c r="A158"/>
    </row>
    <row r="159" spans="1:1" x14ac:dyDescent="0.35">
      <c r="A159"/>
    </row>
    <row r="160" spans="1:1" x14ac:dyDescent="0.35">
      <c r="A160"/>
    </row>
    <row r="161" spans="1:1" x14ac:dyDescent="0.35">
      <c r="A161"/>
    </row>
    <row r="162" spans="1:1" x14ac:dyDescent="0.35">
      <c r="A162"/>
    </row>
    <row r="163" spans="1:1" x14ac:dyDescent="0.35">
      <c r="A163"/>
    </row>
    <row r="164" spans="1:1" x14ac:dyDescent="0.35">
      <c r="A164"/>
    </row>
    <row r="165" spans="1:1" x14ac:dyDescent="0.35">
      <c r="A165"/>
    </row>
    <row r="166" spans="1:1" x14ac:dyDescent="0.35">
      <c r="A166"/>
    </row>
    <row r="167" spans="1:1" x14ac:dyDescent="0.35">
      <c r="A167"/>
    </row>
    <row r="168" spans="1:1" x14ac:dyDescent="0.35">
      <c r="A168"/>
    </row>
    <row r="169" spans="1:1" x14ac:dyDescent="0.35">
      <c r="A169"/>
    </row>
    <row r="170" spans="1:1" x14ac:dyDescent="0.35">
      <c r="A170"/>
    </row>
    <row r="171" spans="1:1" x14ac:dyDescent="0.35">
      <c r="A171"/>
    </row>
    <row r="172" spans="1:1" x14ac:dyDescent="0.35">
      <c r="A172"/>
    </row>
    <row r="173" spans="1:1" x14ac:dyDescent="0.35">
      <c r="A173"/>
    </row>
    <row r="174" spans="1:1" x14ac:dyDescent="0.35">
      <c r="A174"/>
    </row>
    <row r="175" spans="1:1" x14ac:dyDescent="0.35">
      <c r="A175"/>
    </row>
    <row r="176" spans="1:1" x14ac:dyDescent="0.35">
      <c r="A176"/>
    </row>
    <row r="177" spans="1:1" x14ac:dyDescent="0.35">
      <c r="A177"/>
    </row>
    <row r="178" spans="1:1" x14ac:dyDescent="0.35">
      <c r="A178"/>
    </row>
    <row r="179" spans="1:1" x14ac:dyDescent="0.35">
      <c r="A179"/>
    </row>
    <row r="180" spans="1:1" x14ac:dyDescent="0.35">
      <c r="A180"/>
    </row>
    <row r="181" spans="1:1" x14ac:dyDescent="0.35">
      <c r="A181"/>
    </row>
    <row r="182" spans="1:1" x14ac:dyDescent="0.35">
      <c r="A182"/>
    </row>
    <row r="183" spans="1:1" x14ac:dyDescent="0.35">
      <c r="A183"/>
    </row>
    <row r="184" spans="1:1" x14ac:dyDescent="0.35">
      <c r="A184"/>
    </row>
    <row r="185" spans="1:1" x14ac:dyDescent="0.35">
      <c r="A185"/>
    </row>
    <row r="186" spans="1:1" x14ac:dyDescent="0.35">
      <c r="A186"/>
    </row>
    <row r="187" spans="1:1" x14ac:dyDescent="0.35">
      <c r="A187"/>
    </row>
    <row r="188" spans="1:1" x14ac:dyDescent="0.35">
      <c r="A188"/>
    </row>
    <row r="189" spans="1:1" x14ac:dyDescent="0.35">
      <c r="A189"/>
    </row>
    <row r="190" spans="1:1" x14ac:dyDescent="0.35">
      <c r="A190"/>
    </row>
    <row r="191" spans="1:1" x14ac:dyDescent="0.35">
      <c r="A191"/>
    </row>
    <row r="192" spans="1:1" x14ac:dyDescent="0.35">
      <c r="A192"/>
    </row>
    <row r="193" spans="1:1" x14ac:dyDescent="0.35">
      <c r="A193"/>
    </row>
    <row r="194" spans="1:1" x14ac:dyDescent="0.35">
      <c r="A194"/>
    </row>
    <row r="195" spans="1:1" x14ac:dyDescent="0.35">
      <c r="A195"/>
    </row>
    <row r="196" spans="1:1" x14ac:dyDescent="0.35">
      <c r="A196"/>
    </row>
    <row r="197" spans="1:1" x14ac:dyDescent="0.35">
      <c r="A197"/>
    </row>
    <row r="198" spans="1:1" x14ac:dyDescent="0.35">
      <c r="A198"/>
    </row>
    <row r="199" spans="1:1" x14ac:dyDescent="0.35">
      <c r="A199"/>
    </row>
    <row r="200" spans="1:1" x14ac:dyDescent="0.35">
      <c r="A200"/>
    </row>
    <row r="201" spans="1:1" x14ac:dyDescent="0.35">
      <c r="A201"/>
    </row>
    <row r="202" spans="1:1" x14ac:dyDescent="0.35">
      <c r="A202"/>
    </row>
    <row r="203" spans="1:1" x14ac:dyDescent="0.35">
      <c r="A203"/>
    </row>
    <row r="204" spans="1:1" x14ac:dyDescent="0.35">
      <c r="A204"/>
    </row>
    <row r="205" spans="1:1" x14ac:dyDescent="0.35">
      <c r="A205"/>
    </row>
    <row r="206" spans="1:1" x14ac:dyDescent="0.35">
      <c r="A206"/>
    </row>
    <row r="207" spans="1:1" x14ac:dyDescent="0.35">
      <c r="A207"/>
    </row>
    <row r="208" spans="1:1" x14ac:dyDescent="0.35">
      <c r="A208"/>
    </row>
    <row r="209" spans="1:1" x14ac:dyDescent="0.35">
      <c r="A209"/>
    </row>
    <row r="210" spans="1:1" x14ac:dyDescent="0.35">
      <c r="A210"/>
    </row>
    <row r="211" spans="1:1" x14ac:dyDescent="0.35">
      <c r="A211"/>
    </row>
    <row r="212" spans="1:1" x14ac:dyDescent="0.35">
      <c r="A212"/>
    </row>
    <row r="213" spans="1:1" x14ac:dyDescent="0.35">
      <c r="A213"/>
    </row>
    <row r="214" spans="1:1" x14ac:dyDescent="0.35">
      <c r="A214"/>
    </row>
    <row r="215" spans="1:1" x14ac:dyDescent="0.35">
      <c r="A215"/>
    </row>
    <row r="216" spans="1:1" x14ac:dyDescent="0.35">
      <c r="A216"/>
    </row>
    <row r="217" spans="1:1" x14ac:dyDescent="0.35">
      <c r="A217"/>
    </row>
    <row r="218" spans="1:1" x14ac:dyDescent="0.35">
      <c r="A218"/>
    </row>
    <row r="219" spans="1:1" x14ac:dyDescent="0.35">
      <c r="A219"/>
    </row>
    <row r="220" spans="1:1" x14ac:dyDescent="0.35">
      <c r="A220"/>
    </row>
    <row r="221" spans="1:1" x14ac:dyDescent="0.35">
      <c r="A221"/>
    </row>
    <row r="222" spans="1:1" x14ac:dyDescent="0.35">
      <c r="A222"/>
    </row>
    <row r="223" spans="1:1" x14ac:dyDescent="0.35">
      <c r="A223"/>
    </row>
    <row r="224" spans="1:1" x14ac:dyDescent="0.35">
      <c r="A224"/>
    </row>
    <row r="225" spans="1:1" x14ac:dyDescent="0.35">
      <c r="A225"/>
    </row>
    <row r="226" spans="1:1" x14ac:dyDescent="0.35">
      <c r="A226"/>
    </row>
    <row r="227" spans="1:1" x14ac:dyDescent="0.35">
      <c r="A227"/>
    </row>
    <row r="228" spans="1:1" x14ac:dyDescent="0.35">
      <c r="A228"/>
    </row>
    <row r="229" spans="1:1" x14ac:dyDescent="0.35">
      <c r="A229"/>
    </row>
    <row r="230" spans="1:1" x14ac:dyDescent="0.35">
      <c r="A230"/>
    </row>
    <row r="231" spans="1:1" x14ac:dyDescent="0.35">
      <c r="A231"/>
    </row>
    <row r="232" spans="1:1" x14ac:dyDescent="0.35">
      <c r="A232"/>
    </row>
    <row r="233" spans="1:1" x14ac:dyDescent="0.35">
      <c r="A233"/>
    </row>
    <row r="234" spans="1:1" x14ac:dyDescent="0.35">
      <c r="A234"/>
    </row>
    <row r="235" spans="1:1" x14ac:dyDescent="0.35">
      <c r="A235"/>
    </row>
    <row r="236" spans="1:1" x14ac:dyDescent="0.35">
      <c r="A236"/>
    </row>
    <row r="237" spans="1:1" x14ac:dyDescent="0.35">
      <c r="A237"/>
    </row>
    <row r="238" spans="1:1" x14ac:dyDescent="0.35">
      <c r="A238"/>
    </row>
    <row r="239" spans="1:1" x14ac:dyDescent="0.35">
      <c r="A239"/>
    </row>
    <row r="240" spans="1:1" x14ac:dyDescent="0.35">
      <c r="A240"/>
    </row>
    <row r="241" spans="1:1" x14ac:dyDescent="0.35">
      <c r="A241"/>
    </row>
    <row r="242" spans="1:1" x14ac:dyDescent="0.35">
      <c r="A242"/>
    </row>
    <row r="243" spans="1:1" x14ac:dyDescent="0.35">
      <c r="A243"/>
    </row>
    <row r="244" spans="1:1" x14ac:dyDescent="0.35">
      <c r="A244"/>
    </row>
    <row r="245" spans="1:1" x14ac:dyDescent="0.35">
      <c r="A245"/>
    </row>
    <row r="246" spans="1:1" x14ac:dyDescent="0.35">
      <c r="A246"/>
    </row>
    <row r="247" spans="1:1" x14ac:dyDescent="0.35">
      <c r="A247"/>
    </row>
    <row r="248" spans="1:1" x14ac:dyDescent="0.35">
      <c r="A248"/>
    </row>
    <row r="249" spans="1:1" x14ac:dyDescent="0.35">
      <c r="A249"/>
    </row>
    <row r="250" spans="1:1" x14ac:dyDescent="0.35">
      <c r="A250"/>
    </row>
    <row r="251" spans="1:1" x14ac:dyDescent="0.35">
      <c r="A251"/>
    </row>
    <row r="252" spans="1:1" x14ac:dyDescent="0.35">
      <c r="A252"/>
    </row>
    <row r="253" spans="1:1" x14ac:dyDescent="0.35">
      <c r="A253"/>
    </row>
    <row r="254" spans="1:1" x14ac:dyDescent="0.35">
      <c r="A254"/>
    </row>
    <row r="255" spans="1:1" x14ac:dyDescent="0.35">
      <c r="A255"/>
    </row>
    <row r="256" spans="1:1" x14ac:dyDescent="0.35">
      <c r="A256"/>
    </row>
    <row r="257" spans="1:1" x14ac:dyDescent="0.35">
      <c r="A257"/>
    </row>
    <row r="258" spans="1:1" x14ac:dyDescent="0.35">
      <c r="A258"/>
    </row>
    <row r="259" spans="1:1" x14ac:dyDescent="0.35">
      <c r="A259"/>
    </row>
    <row r="260" spans="1:1" x14ac:dyDescent="0.35">
      <c r="A260"/>
    </row>
    <row r="261" spans="1:1" x14ac:dyDescent="0.35">
      <c r="A261"/>
    </row>
    <row r="262" spans="1:1" x14ac:dyDescent="0.35">
      <c r="A262"/>
    </row>
    <row r="263" spans="1:1" x14ac:dyDescent="0.35">
      <c r="A263"/>
    </row>
    <row r="264" spans="1:1" x14ac:dyDescent="0.35">
      <c r="A264"/>
    </row>
    <row r="265" spans="1:1" x14ac:dyDescent="0.35">
      <c r="A265"/>
    </row>
    <row r="266" spans="1:1" x14ac:dyDescent="0.35">
      <c r="A266"/>
    </row>
    <row r="267" spans="1:1" x14ac:dyDescent="0.35">
      <c r="A267"/>
    </row>
    <row r="268" spans="1:1" x14ac:dyDescent="0.35">
      <c r="A268"/>
    </row>
    <row r="269" spans="1:1" x14ac:dyDescent="0.35">
      <c r="A269"/>
    </row>
    <row r="270" spans="1:1" x14ac:dyDescent="0.35">
      <c r="A270"/>
    </row>
    <row r="271" spans="1:1" x14ac:dyDescent="0.35">
      <c r="A271"/>
    </row>
    <row r="272" spans="1:1" x14ac:dyDescent="0.35">
      <c r="A272"/>
    </row>
    <row r="273" spans="1:1" x14ac:dyDescent="0.35">
      <c r="A273"/>
    </row>
    <row r="274" spans="1:1" x14ac:dyDescent="0.35">
      <c r="A274"/>
    </row>
    <row r="275" spans="1:1" x14ac:dyDescent="0.35">
      <c r="A275"/>
    </row>
    <row r="276" spans="1:1" x14ac:dyDescent="0.35">
      <c r="A276"/>
    </row>
    <row r="277" spans="1:1" x14ac:dyDescent="0.35">
      <c r="A277"/>
    </row>
    <row r="278" spans="1:1" x14ac:dyDescent="0.35">
      <c r="A278"/>
    </row>
    <row r="279" spans="1:1" x14ac:dyDescent="0.35">
      <c r="A279"/>
    </row>
    <row r="280" spans="1:1" x14ac:dyDescent="0.35">
      <c r="A280"/>
    </row>
    <row r="281" spans="1:1" x14ac:dyDescent="0.35">
      <c r="A281"/>
    </row>
    <row r="282" spans="1:1" x14ac:dyDescent="0.35">
      <c r="A282"/>
    </row>
    <row r="283" spans="1:1" x14ac:dyDescent="0.35">
      <c r="A283"/>
    </row>
    <row r="284" spans="1:1" x14ac:dyDescent="0.35">
      <c r="A284"/>
    </row>
    <row r="285" spans="1:1" x14ac:dyDescent="0.35">
      <c r="A285"/>
    </row>
    <row r="286" spans="1:1" x14ac:dyDescent="0.35">
      <c r="A286"/>
    </row>
    <row r="287" spans="1:1" x14ac:dyDescent="0.35">
      <c r="A287"/>
    </row>
    <row r="288" spans="1:1" x14ac:dyDescent="0.35">
      <c r="A288"/>
    </row>
    <row r="289" spans="1:1" x14ac:dyDescent="0.35">
      <c r="A289"/>
    </row>
    <row r="290" spans="1:1" x14ac:dyDescent="0.35">
      <c r="A290"/>
    </row>
    <row r="291" spans="1:1" x14ac:dyDescent="0.35">
      <c r="A291"/>
    </row>
    <row r="292" spans="1:1" x14ac:dyDescent="0.35">
      <c r="A292"/>
    </row>
    <row r="293" spans="1:1" x14ac:dyDescent="0.35">
      <c r="A293"/>
    </row>
    <row r="294" spans="1:1" x14ac:dyDescent="0.35">
      <c r="A294"/>
    </row>
    <row r="295" spans="1:1" x14ac:dyDescent="0.35">
      <c r="A295"/>
    </row>
    <row r="296" spans="1:1" x14ac:dyDescent="0.35">
      <c r="A296"/>
    </row>
    <row r="297" spans="1:1" x14ac:dyDescent="0.35">
      <c r="A297"/>
    </row>
    <row r="298" spans="1:1" x14ac:dyDescent="0.35">
      <c r="A298"/>
    </row>
    <row r="299" spans="1:1" x14ac:dyDescent="0.35">
      <c r="A299"/>
    </row>
    <row r="300" spans="1:1" x14ac:dyDescent="0.35">
      <c r="A300"/>
    </row>
    <row r="301" spans="1:1" x14ac:dyDescent="0.35">
      <c r="A301"/>
    </row>
    <row r="302" spans="1:1" x14ac:dyDescent="0.35">
      <c r="A302"/>
    </row>
    <row r="303" spans="1:1" x14ac:dyDescent="0.35">
      <c r="A303"/>
    </row>
    <row r="304" spans="1:1" x14ac:dyDescent="0.35">
      <c r="A304"/>
    </row>
    <row r="305" spans="1:1" x14ac:dyDescent="0.35">
      <c r="A305"/>
    </row>
    <row r="306" spans="1:1" x14ac:dyDescent="0.35">
      <c r="A306"/>
    </row>
    <row r="307" spans="1:1" x14ac:dyDescent="0.35">
      <c r="A307"/>
    </row>
    <row r="308" spans="1:1" x14ac:dyDescent="0.35">
      <c r="A308"/>
    </row>
    <row r="309" spans="1:1" x14ac:dyDescent="0.35">
      <c r="A309"/>
    </row>
    <row r="310" spans="1:1" x14ac:dyDescent="0.35">
      <c r="A310"/>
    </row>
    <row r="311" spans="1:1" x14ac:dyDescent="0.35">
      <c r="A311"/>
    </row>
    <row r="312" spans="1:1" x14ac:dyDescent="0.35">
      <c r="A312"/>
    </row>
    <row r="313" spans="1:1" x14ac:dyDescent="0.35">
      <c r="A313"/>
    </row>
    <row r="314" spans="1:1" x14ac:dyDescent="0.35">
      <c r="A314"/>
    </row>
    <row r="315" spans="1:1" x14ac:dyDescent="0.35">
      <c r="A315"/>
    </row>
    <row r="316" spans="1:1" x14ac:dyDescent="0.35">
      <c r="A316"/>
    </row>
    <row r="317" spans="1:1" x14ac:dyDescent="0.35">
      <c r="A317"/>
    </row>
    <row r="318" spans="1:1" x14ac:dyDescent="0.35">
      <c r="A318"/>
    </row>
    <row r="319" spans="1:1" x14ac:dyDescent="0.35">
      <c r="A319"/>
    </row>
    <row r="320" spans="1:1" x14ac:dyDescent="0.35">
      <c r="A320"/>
    </row>
    <row r="321" spans="1:1" x14ac:dyDescent="0.35">
      <c r="A321"/>
    </row>
    <row r="322" spans="1:1" x14ac:dyDescent="0.35">
      <c r="A322"/>
    </row>
    <row r="323" spans="1:1" x14ac:dyDescent="0.35">
      <c r="A323"/>
    </row>
    <row r="324" spans="1:1" x14ac:dyDescent="0.35">
      <c r="A324"/>
    </row>
    <row r="325" spans="1:1" x14ac:dyDescent="0.35">
      <c r="A325"/>
    </row>
    <row r="326" spans="1:1" x14ac:dyDescent="0.35">
      <c r="A326"/>
    </row>
    <row r="327" spans="1:1" x14ac:dyDescent="0.35">
      <c r="A327"/>
    </row>
    <row r="328" spans="1:1" x14ac:dyDescent="0.35">
      <c r="A328"/>
    </row>
    <row r="329" spans="1:1" x14ac:dyDescent="0.35">
      <c r="A329"/>
    </row>
    <row r="330" spans="1:1" x14ac:dyDescent="0.35">
      <c r="A330"/>
    </row>
    <row r="331" spans="1:1" x14ac:dyDescent="0.35">
      <c r="A331"/>
    </row>
    <row r="332" spans="1:1" x14ac:dyDescent="0.35">
      <c r="A332"/>
    </row>
    <row r="333" spans="1:1" x14ac:dyDescent="0.35">
      <c r="A333"/>
    </row>
    <row r="334" spans="1:1" x14ac:dyDescent="0.35">
      <c r="A334"/>
    </row>
    <row r="335" spans="1:1" x14ac:dyDescent="0.35">
      <c r="A335"/>
    </row>
    <row r="336" spans="1:1" x14ac:dyDescent="0.35">
      <c r="A336"/>
    </row>
    <row r="337" spans="1:1" x14ac:dyDescent="0.35">
      <c r="A337"/>
    </row>
    <row r="338" spans="1:1" x14ac:dyDescent="0.35">
      <c r="A338"/>
    </row>
    <row r="339" spans="1:1" x14ac:dyDescent="0.35">
      <c r="A339"/>
    </row>
    <row r="340" spans="1:1" x14ac:dyDescent="0.35">
      <c r="A340"/>
    </row>
    <row r="341" spans="1:1" x14ac:dyDescent="0.35">
      <c r="A341"/>
    </row>
    <row r="342" spans="1:1" x14ac:dyDescent="0.35">
      <c r="A342"/>
    </row>
    <row r="343" spans="1:1" x14ac:dyDescent="0.35">
      <c r="A343"/>
    </row>
    <row r="344" spans="1:1" x14ac:dyDescent="0.35">
      <c r="A344"/>
    </row>
    <row r="345" spans="1:1" x14ac:dyDescent="0.35">
      <c r="A345"/>
    </row>
    <row r="346" spans="1:1" x14ac:dyDescent="0.35">
      <c r="A346"/>
    </row>
    <row r="347" spans="1:1" x14ac:dyDescent="0.35">
      <c r="A347"/>
    </row>
    <row r="348" spans="1:1" x14ac:dyDescent="0.35">
      <c r="A348"/>
    </row>
    <row r="349" spans="1:1" x14ac:dyDescent="0.35">
      <c r="A349"/>
    </row>
    <row r="350" spans="1:1" x14ac:dyDescent="0.35">
      <c r="A350"/>
    </row>
    <row r="351" spans="1:1" x14ac:dyDescent="0.35">
      <c r="A351"/>
    </row>
    <row r="352" spans="1:1" x14ac:dyDescent="0.35">
      <c r="A352"/>
    </row>
    <row r="353" spans="1:1" x14ac:dyDescent="0.35">
      <c r="A353"/>
    </row>
    <row r="354" spans="1:1" x14ac:dyDescent="0.35">
      <c r="A354"/>
    </row>
    <row r="355" spans="1:1" x14ac:dyDescent="0.35">
      <c r="A355"/>
    </row>
    <row r="356" spans="1:1" x14ac:dyDescent="0.35">
      <c r="A356"/>
    </row>
    <row r="357" spans="1:1" x14ac:dyDescent="0.35">
      <c r="A357"/>
    </row>
    <row r="358" spans="1:1" x14ac:dyDescent="0.35">
      <c r="A358"/>
    </row>
    <row r="359" spans="1:1" x14ac:dyDescent="0.35">
      <c r="A359"/>
    </row>
    <row r="360" spans="1:1" x14ac:dyDescent="0.35">
      <c r="A360"/>
    </row>
    <row r="361" spans="1:1" x14ac:dyDescent="0.35">
      <c r="A361"/>
    </row>
    <row r="362" spans="1:1" x14ac:dyDescent="0.35">
      <c r="A362"/>
    </row>
    <row r="363" spans="1:1" x14ac:dyDescent="0.35">
      <c r="A363"/>
    </row>
    <row r="364" spans="1:1" x14ac:dyDescent="0.35">
      <c r="A364"/>
    </row>
    <row r="365" spans="1:1" x14ac:dyDescent="0.35">
      <c r="A365"/>
    </row>
    <row r="366" spans="1:1" x14ac:dyDescent="0.35">
      <c r="A366"/>
    </row>
    <row r="367" spans="1:1" x14ac:dyDescent="0.35">
      <c r="A367"/>
    </row>
    <row r="368" spans="1:1" x14ac:dyDescent="0.35">
      <c r="A368"/>
    </row>
    <row r="369" spans="1:1" x14ac:dyDescent="0.35">
      <c r="A369"/>
    </row>
    <row r="370" spans="1:1" x14ac:dyDescent="0.35">
      <c r="A370"/>
    </row>
    <row r="371" spans="1:1" x14ac:dyDescent="0.35">
      <c r="A371"/>
    </row>
    <row r="372" spans="1:1" x14ac:dyDescent="0.35">
      <c r="A372"/>
    </row>
    <row r="373" spans="1:1" x14ac:dyDescent="0.35">
      <c r="A373"/>
    </row>
    <row r="374" spans="1:1" x14ac:dyDescent="0.35">
      <c r="A374"/>
    </row>
    <row r="375" spans="1:1" x14ac:dyDescent="0.35">
      <c r="A375"/>
    </row>
    <row r="376" spans="1:1" x14ac:dyDescent="0.35">
      <c r="A376"/>
    </row>
    <row r="377" spans="1:1" x14ac:dyDescent="0.35">
      <c r="A377"/>
    </row>
    <row r="378" spans="1:1" x14ac:dyDescent="0.35">
      <c r="A378"/>
    </row>
    <row r="379" spans="1:1" x14ac:dyDescent="0.35">
      <c r="A379"/>
    </row>
    <row r="380" spans="1:1" x14ac:dyDescent="0.35">
      <c r="A380"/>
    </row>
    <row r="381" spans="1:1" x14ac:dyDescent="0.35">
      <c r="A381"/>
    </row>
    <row r="382" spans="1:1" x14ac:dyDescent="0.35">
      <c r="A382"/>
    </row>
    <row r="383" spans="1:1" x14ac:dyDescent="0.35">
      <c r="A383"/>
    </row>
    <row r="384" spans="1:1" x14ac:dyDescent="0.35">
      <c r="A384"/>
    </row>
    <row r="385" spans="1:1" x14ac:dyDescent="0.35">
      <c r="A385"/>
    </row>
    <row r="386" spans="1:1" x14ac:dyDescent="0.35">
      <c r="A386"/>
    </row>
    <row r="387" spans="1:1" x14ac:dyDescent="0.35">
      <c r="A387"/>
    </row>
    <row r="388" spans="1:1" x14ac:dyDescent="0.35">
      <c r="A388"/>
    </row>
    <row r="389" spans="1:1" x14ac:dyDescent="0.35">
      <c r="A389"/>
    </row>
    <row r="390" spans="1:1" x14ac:dyDescent="0.35">
      <c r="A390"/>
    </row>
    <row r="391" spans="1:1" x14ac:dyDescent="0.35">
      <c r="A391"/>
    </row>
    <row r="392" spans="1:1" x14ac:dyDescent="0.35">
      <c r="A392"/>
    </row>
    <row r="393" spans="1:1" x14ac:dyDescent="0.35">
      <c r="A393"/>
    </row>
    <row r="394" spans="1:1" x14ac:dyDescent="0.35">
      <c r="A394"/>
    </row>
    <row r="395" spans="1:1" x14ac:dyDescent="0.35">
      <c r="A395"/>
    </row>
    <row r="396" spans="1:1" x14ac:dyDescent="0.35">
      <c r="A396"/>
    </row>
    <row r="397" spans="1:1" x14ac:dyDescent="0.35">
      <c r="A397"/>
    </row>
    <row r="398" spans="1:1" x14ac:dyDescent="0.35">
      <c r="A398"/>
    </row>
    <row r="399" spans="1:1" x14ac:dyDescent="0.35">
      <c r="A399"/>
    </row>
    <row r="400" spans="1:1" x14ac:dyDescent="0.35">
      <c r="A400"/>
    </row>
    <row r="401" spans="1:1" x14ac:dyDescent="0.35">
      <c r="A401"/>
    </row>
    <row r="402" spans="1:1" x14ac:dyDescent="0.35">
      <c r="A402"/>
    </row>
    <row r="403" spans="1:1" x14ac:dyDescent="0.35">
      <c r="A403"/>
    </row>
    <row r="404" spans="1:1" x14ac:dyDescent="0.35">
      <c r="A404"/>
    </row>
    <row r="405" spans="1:1" x14ac:dyDescent="0.35">
      <c r="A405"/>
    </row>
    <row r="406" spans="1:1" x14ac:dyDescent="0.35">
      <c r="A406"/>
    </row>
    <row r="407" spans="1:1" x14ac:dyDescent="0.35">
      <c r="A407"/>
    </row>
    <row r="408" spans="1:1" x14ac:dyDescent="0.35">
      <c r="A408"/>
    </row>
    <row r="409" spans="1:1" x14ac:dyDescent="0.35">
      <c r="A409"/>
    </row>
    <row r="410" spans="1:1" x14ac:dyDescent="0.35">
      <c r="A410"/>
    </row>
    <row r="411" spans="1:1" x14ac:dyDescent="0.35">
      <c r="A411"/>
    </row>
    <row r="412" spans="1:1" x14ac:dyDescent="0.35">
      <c r="A412"/>
    </row>
    <row r="413" spans="1:1" x14ac:dyDescent="0.35">
      <c r="A413"/>
    </row>
    <row r="414" spans="1:1" x14ac:dyDescent="0.35">
      <c r="A414"/>
    </row>
    <row r="415" spans="1:1" x14ac:dyDescent="0.35">
      <c r="A415"/>
    </row>
    <row r="416" spans="1:1" x14ac:dyDescent="0.35">
      <c r="A416"/>
    </row>
    <row r="417" spans="1:1" x14ac:dyDescent="0.35">
      <c r="A417"/>
    </row>
    <row r="418" spans="1:1" x14ac:dyDescent="0.35">
      <c r="A418"/>
    </row>
    <row r="419" spans="1:1" x14ac:dyDescent="0.35">
      <c r="A419"/>
    </row>
    <row r="420" spans="1:1" x14ac:dyDescent="0.35">
      <c r="A420"/>
    </row>
    <row r="421" spans="1:1" x14ac:dyDescent="0.35">
      <c r="A421"/>
    </row>
    <row r="422" spans="1:1" x14ac:dyDescent="0.35">
      <c r="A422"/>
    </row>
    <row r="423" spans="1:1" x14ac:dyDescent="0.35">
      <c r="A423"/>
    </row>
    <row r="424" spans="1:1" x14ac:dyDescent="0.35">
      <c r="A424"/>
    </row>
    <row r="425" spans="1:1" x14ac:dyDescent="0.35">
      <c r="A425"/>
    </row>
    <row r="426" spans="1:1" x14ac:dyDescent="0.35">
      <c r="A426"/>
    </row>
    <row r="427" spans="1:1" x14ac:dyDescent="0.35">
      <c r="A427"/>
    </row>
    <row r="428" spans="1:1" x14ac:dyDescent="0.35">
      <c r="A428"/>
    </row>
    <row r="429" spans="1:1" x14ac:dyDescent="0.35">
      <c r="A429"/>
    </row>
    <row r="430" spans="1:1" x14ac:dyDescent="0.35">
      <c r="A430"/>
    </row>
    <row r="431" spans="1:1" x14ac:dyDescent="0.35">
      <c r="A431"/>
    </row>
    <row r="432" spans="1:1" x14ac:dyDescent="0.35">
      <c r="A432"/>
    </row>
    <row r="433" spans="1:1" x14ac:dyDescent="0.35">
      <c r="A433"/>
    </row>
    <row r="434" spans="1:1" x14ac:dyDescent="0.35">
      <c r="A434"/>
    </row>
    <row r="435" spans="1:1" x14ac:dyDescent="0.35">
      <c r="A435"/>
    </row>
    <row r="436" spans="1:1" x14ac:dyDescent="0.35">
      <c r="A436"/>
    </row>
    <row r="437" spans="1:1" x14ac:dyDescent="0.35">
      <c r="A437"/>
    </row>
    <row r="438" spans="1:1" x14ac:dyDescent="0.35">
      <c r="A438"/>
    </row>
    <row r="439" spans="1:1" x14ac:dyDescent="0.35">
      <c r="A439"/>
    </row>
    <row r="440" spans="1:1" x14ac:dyDescent="0.35">
      <c r="A440"/>
    </row>
    <row r="441" spans="1:1" x14ac:dyDescent="0.35">
      <c r="A441"/>
    </row>
    <row r="442" spans="1:1" x14ac:dyDescent="0.35">
      <c r="A442"/>
    </row>
    <row r="443" spans="1:1" x14ac:dyDescent="0.35">
      <c r="A443"/>
    </row>
    <row r="444" spans="1:1" x14ac:dyDescent="0.35">
      <c r="A444"/>
    </row>
    <row r="445" spans="1:1" x14ac:dyDescent="0.35">
      <c r="A445"/>
    </row>
    <row r="446" spans="1:1" x14ac:dyDescent="0.35">
      <c r="A446"/>
    </row>
    <row r="447" spans="1:1" x14ac:dyDescent="0.35">
      <c r="A447"/>
    </row>
    <row r="448" spans="1:1" x14ac:dyDescent="0.35">
      <c r="A448"/>
    </row>
    <row r="449" spans="1:1" x14ac:dyDescent="0.35">
      <c r="A449"/>
    </row>
    <row r="450" spans="1:1" x14ac:dyDescent="0.35">
      <c r="A450"/>
    </row>
    <row r="451" spans="1:1" x14ac:dyDescent="0.35">
      <c r="A451"/>
    </row>
    <row r="452" spans="1:1" x14ac:dyDescent="0.35">
      <c r="A452"/>
    </row>
    <row r="453" spans="1:1" x14ac:dyDescent="0.35">
      <c r="A453"/>
    </row>
    <row r="454" spans="1:1" x14ac:dyDescent="0.35">
      <c r="A454"/>
    </row>
    <row r="455" spans="1:1" x14ac:dyDescent="0.35">
      <c r="A455"/>
    </row>
    <row r="456" spans="1:1" x14ac:dyDescent="0.35">
      <c r="A456"/>
    </row>
    <row r="457" spans="1:1" x14ac:dyDescent="0.35">
      <c r="A457"/>
    </row>
    <row r="458" spans="1:1" x14ac:dyDescent="0.35">
      <c r="A458"/>
    </row>
    <row r="459" spans="1:1" x14ac:dyDescent="0.35">
      <c r="A459"/>
    </row>
    <row r="460" spans="1:1" x14ac:dyDescent="0.35">
      <c r="A460"/>
    </row>
    <row r="461" spans="1:1" x14ac:dyDescent="0.35">
      <c r="A461"/>
    </row>
    <row r="462" spans="1:1" x14ac:dyDescent="0.35">
      <c r="A462"/>
    </row>
    <row r="463" spans="1:1" x14ac:dyDescent="0.35">
      <c r="A463"/>
    </row>
    <row r="464" spans="1:1" x14ac:dyDescent="0.35">
      <c r="A464"/>
    </row>
    <row r="465" spans="1:1" x14ac:dyDescent="0.35">
      <c r="A465"/>
    </row>
    <row r="466" spans="1:1" x14ac:dyDescent="0.35">
      <c r="A466"/>
    </row>
    <row r="467" spans="1:1" x14ac:dyDescent="0.35">
      <c r="A467"/>
    </row>
    <row r="468" spans="1:1" x14ac:dyDescent="0.35">
      <c r="A468"/>
    </row>
    <row r="469" spans="1:1" x14ac:dyDescent="0.35">
      <c r="A469"/>
    </row>
    <row r="470" spans="1:1" x14ac:dyDescent="0.35">
      <c r="A470"/>
    </row>
    <row r="471" spans="1:1" x14ac:dyDescent="0.35">
      <c r="A471"/>
    </row>
    <row r="472" spans="1:1" x14ac:dyDescent="0.35">
      <c r="A472"/>
    </row>
    <row r="473" spans="1:1" x14ac:dyDescent="0.35">
      <c r="A473"/>
    </row>
    <row r="474" spans="1:1" x14ac:dyDescent="0.35">
      <c r="A474"/>
    </row>
    <row r="475" spans="1:1" x14ac:dyDescent="0.35">
      <c r="A475"/>
    </row>
    <row r="476" spans="1:1" x14ac:dyDescent="0.35">
      <c r="A476"/>
    </row>
    <row r="477" spans="1:1" x14ac:dyDescent="0.35">
      <c r="A477"/>
    </row>
    <row r="478" spans="1:1" x14ac:dyDescent="0.35">
      <c r="A478"/>
    </row>
    <row r="479" spans="1:1" x14ac:dyDescent="0.35">
      <c r="A479"/>
    </row>
    <row r="480" spans="1:1" x14ac:dyDescent="0.35">
      <c r="A480"/>
    </row>
    <row r="481" spans="1:1" x14ac:dyDescent="0.35">
      <c r="A481"/>
    </row>
    <row r="482" spans="1:1" x14ac:dyDescent="0.35">
      <c r="A482"/>
    </row>
    <row r="483" spans="1:1" x14ac:dyDescent="0.35">
      <c r="A483"/>
    </row>
    <row r="484" spans="1:1" x14ac:dyDescent="0.35">
      <c r="A484"/>
    </row>
    <row r="485" spans="1:1" x14ac:dyDescent="0.35">
      <c r="A485"/>
    </row>
    <row r="486" spans="1:1" x14ac:dyDescent="0.35">
      <c r="A486"/>
    </row>
    <row r="487" spans="1:1" x14ac:dyDescent="0.35">
      <c r="A487"/>
    </row>
    <row r="488" spans="1:1" x14ac:dyDescent="0.35">
      <c r="A488"/>
    </row>
    <row r="489" spans="1:1" x14ac:dyDescent="0.35">
      <c r="A489"/>
    </row>
    <row r="490" spans="1:1" x14ac:dyDescent="0.35">
      <c r="A490"/>
    </row>
    <row r="491" spans="1:1" x14ac:dyDescent="0.35">
      <c r="A491"/>
    </row>
    <row r="492" spans="1:1" x14ac:dyDescent="0.35">
      <c r="A492"/>
    </row>
    <row r="493" spans="1:1" x14ac:dyDescent="0.35">
      <c r="A493"/>
    </row>
    <row r="494" spans="1:1" x14ac:dyDescent="0.35">
      <c r="A494"/>
    </row>
    <row r="495" spans="1:1" x14ac:dyDescent="0.35">
      <c r="A495"/>
    </row>
    <row r="496" spans="1:1" x14ac:dyDescent="0.35">
      <c r="A496"/>
    </row>
    <row r="497" spans="1:1" x14ac:dyDescent="0.35">
      <c r="A497"/>
    </row>
    <row r="498" spans="1:1" x14ac:dyDescent="0.35">
      <c r="A498"/>
    </row>
    <row r="499" spans="1:1" x14ac:dyDescent="0.35">
      <c r="A499"/>
    </row>
    <row r="500" spans="1:1" x14ac:dyDescent="0.35">
      <c r="A500"/>
    </row>
    <row r="501" spans="1:1" x14ac:dyDescent="0.35">
      <c r="A501"/>
    </row>
    <row r="502" spans="1:1" x14ac:dyDescent="0.35">
      <c r="A502"/>
    </row>
    <row r="503" spans="1:1" x14ac:dyDescent="0.35">
      <c r="A503"/>
    </row>
    <row r="504" spans="1:1" x14ac:dyDescent="0.35">
      <c r="A504"/>
    </row>
    <row r="505" spans="1:1" x14ac:dyDescent="0.35">
      <c r="A505"/>
    </row>
    <row r="506" spans="1:1" x14ac:dyDescent="0.35">
      <c r="A506"/>
    </row>
    <row r="507" spans="1:1" x14ac:dyDescent="0.35">
      <c r="A507"/>
    </row>
    <row r="508" spans="1:1" x14ac:dyDescent="0.35">
      <c r="A508"/>
    </row>
    <row r="509" spans="1:1" x14ac:dyDescent="0.35">
      <c r="A509"/>
    </row>
    <row r="510" spans="1:1" x14ac:dyDescent="0.35">
      <c r="A510"/>
    </row>
    <row r="511" spans="1:1" x14ac:dyDescent="0.35">
      <c r="A511"/>
    </row>
    <row r="512" spans="1:1" x14ac:dyDescent="0.35">
      <c r="A512"/>
    </row>
    <row r="513" spans="1:1" x14ac:dyDescent="0.35">
      <c r="A513"/>
    </row>
    <row r="514" spans="1:1" x14ac:dyDescent="0.35">
      <c r="A514"/>
    </row>
    <row r="515" spans="1:1" x14ac:dyDescent="0.35">
      <c r="A515"/>
    </row>
    <row r="516" spans="1:1" x14ac:dyDescent="0.35">
      <c r="A516"/>
    </row>
    <row r="517" spans="1:1" x14ac:dyDescent="0.35">
      <c r="A517"/>
    </row>
    <row r="518" spans="1:1" x14ac:dyDescent="0.35">
      <c r="A518"/>
    </row>
    <row r="519" spans="1:1" x14ac:dyDescent="0.35">
      <c r="A519"/>
    </row>
    <row r="520" spans="1:1" x14ac:dyDescent="0.35">
      <c r="A520"/>
    </row>
    <row r="521" spans="1:1" x14ac:dyDescent="0.35">
      <c r="A521"/>
    </row>
    <row r="522" spans="1:1" x14ac:dyDescent="0.35">
      <c r="A522"/>
    </row>
    <row r="523" spans="1:1" x14ac:dyDescent="0.35">
      <c r="A523"/>
    </row>
    <row r="524" spans="1:1" x14ac:dyDescent="0.35">
      <c r="A524"/>
    </row>
    <row r="525" spans="1:1" x14ac:dyDescent="0.35">
      <c r="A525"/>
    </row>
    <row r="526" spans="1:1" x14ac:dyDescent="0.35">
      <c r="A526"/>
    </row>
    <row r="527" spans="1:1" x14ac:dyDescent="0.35">
      <c r="A527"/>
    </row>
    <row r="528" spans="1:1" x14ac:dyDescent="0.35">
      <c r="A528"/>
    </row>
    <row r="529" spans="1:1" x14ac:dyDescent="0.35">
      <c r="A529"/>
    </row>
    <row r="530" spans="1:1" x14ac:dyDescent="0.35">
      <c r="A530"/>
    </row>
    <row r="531" spans="1:1" x14ac:dyDescent="0.35">
      <c r="A531"/>
    </row>
    <row r="532" spans="1:1" x14ac:dyDescent="0.35">
      <c r="A532"/>
    </row>
    <row r="533" spans="1:1" x14ac:dyDescent="0.35">
      <c r="A533"/>
    </row>
    <row r="534" spans="1:1" x14ac:dyDescent="0.35">
      <c r="A534"/>
    </row>
    <row r="535" spans="1:1" x14ac:dyDescent="0.35">
      <c r="A535"/>
    </row>
    <row r="536" spans="1:1" x14ac:dyDescent="0.35">
      <c r="A536"/>
    </row>
    <row r="537" spans="1:1" x14ac:dyDescent="0.35">
      <c r="A537"/>
    </row>
    <row r="538" spans="1:1" x14ac:dyDescent="0.35">
      <c r="A538"/>
    </row>
    <row r="539" spans="1:1" x14ac:dyDescent="0.35">
      <c r="A539"/>
    </row>
    <row r="540" spans="1:1" x14ac:dyDescent="0.35">
      <c r="A540"/>
    </row>
    <row r="541" spans="1:1" x14ac:dyDescent="0.35">
      <c r="A541"/>
    </row>
    <row r="542" spans="1:1" x14ac:dyDescent="0.35">
      <c r="A542"/>
    </row>
    <row r="543" spans="1:1" x14ac:dyDescent="0.35">
      <c r="A543"/>
    </row>
    <row r="544" spans="1:1" x14ac:dyDescent="0.35">
      <c r="A544"/>
    </row>
    <row r="545" spans="1:1" x14ac:dyDescent="0.35">
      <c r="A545"/>
    </row>
    <row r="546" spans="1:1" x14ac:dyDescent="0.35">
      <c r="A546"/>
    </row>
    <row r="547" spans="1:1" x14ac:dyDescent="0.35">
      <c r="A547"/>
    </row>
    <row r="548" spans="1:1" x14ac:dyDescent="0.35">
      <c r="A548"/>
    </row>
    <row r="549" spans="1:1" x14ac:dyDescent="0.35">
      <c r="A549"/>
    </row>
    <row r="550" spans="1:1" x14ac:dyDescent="0.35">
      <c r="A550"/>
    </row>
    <row r="551" spans="1:1" x14ac:dyDescent="0.35">
      <c r="A551"/>
    </row>
    <row r="552" spans="1:1" x14ac:dyDescent="0.35">
      <c r="A552"/>
    </row>
    <row r="553" spans="1:1" x14ac:dyDescent="0.35">
      <c r="A553"/>
    </row>
    <row r="554" spans="1:1" x14ac:dyDescent="0.35">
      <c r="A554"/>
    </row>
    <row r="555" spans="1:1" x14ac:dyDescent="0.35">
      <c r="A555"/>
    </row>
    <row r="556" spans="1:1" x14ac:dyDescent="0.35">
      <c r="A556"/>
    </row>
    <row r="557" spans="1:1" x14ac:dyDescent="0.35">
      <c r="A557"/>
    </row>
    <row r="558" spans="1:1" x14ac:dyDescent="0.35">
      <c r="A558"/>
    </row>
    <row r="559" spans="1:1" x14ac:dyDescent="0.35">
      <c r="A559"/>
    </row>
    <row r="560" spans="1:1" x14ac:dyDescent="0.35">
      <c r="A560"/>
    </row>
    <row r="561" spans="1:1" x14ac:dyDescent="0.35">
      <c r="A561"/>
    </row>
    <row r="562" spans="1:1" x14ac:dyDescent="0.35">
      <c r="A562"/>
    </row>
    <row r="563" spans="1:1" x14ac:dyDescent="0.35">
      <c r="A563"/>
    </row>
    <row r="564" spans="1:1" x14ac:dyDescent="0.35">
      <c r="A564"/>
    </row>
    <row r="565" spans="1:1" x14ac:dyDescent="0.35">
      <c r="A565"/>
    </row>
    <row r="566" spans="1:1" x14ac:dyDescent="0.35">
      <c r="A566"/>
    </row>
    <row r="567" spans="1:1" x14ac:dyDescent="0.35">
      <c r="A567"/>
    </row>
    <row r="568" spans="1:1" x14ac:dyDescent="0.35">
      <c r="A568"/>
    </row>
    <row r="569" spans="1:1" x14ac:dyDescent="0.35">
      <c r="A569"/>
    </row>
    <row r="570" spans="1:1" x14ac:dyDescent="0.35">
      <c r="A570"/>
    </row>
    <row r="571" spans="1:1" x14ac:dyDescent="0.35">
      <c r="A571"/>
    </row>
    <row r="572" spans="1:1" x14ac:dyDescent="0.35">
      <c r="A572"/>
    </row>
    <row r="573" spans="1:1" x14ac:dyDescent="0.35">
      <c r="A573"/>
    </row>
    <row r="574" spans="1:1" x14ac:dyDescent="0.35">
      <c r="A574"/>
    </row>
    <row r="575" spans="1:1" x14ac:dyDescent="0.35">
      <c r="A575"/>
    </row>
    <row r="576" spans="1:1" x14ac:dyDescent="0.35">
      <c r="A576"/>
    </row>
    <row r="577" spans="1:1" x14ac:dyDescent="0.35">
      <c r="A577"/>
    </row>
    <row r="578" spans="1:1" x14ac:dyDescent="0.35">
      <c r="A578"/>
    </row>
    <row r="579" spans="1:1" x14ac:dyDescent="0.35">
      <c r="A579"/>
    </row>
    <row r="580" spans="1:1" x14ac:dyDescent="0.35">
      <c r="A580"/>
    </row>
    <row r="581" spans="1:1" x14ac:dyDescent="0.35">
      <c r="A581"/>
    </row>
    <row r="582" spans="1:1" x14ac:dyDescent="0.35">
      <c r="A582"/>
    </row>
    <row r="583" spans="1:1" x14ac:dyDescent="0.35">
      <c r="A583"/>
    </row>
    <row r="584" spans="1:1" x14ac:dyDescent="0.35">
      <c r="A584"/>
    </row>
    <row r="585" spans="1:1" x14ac:dyDescent="0.35">
      <c r="A585"/>
    </row>
    <row r="586" spans="1:1" x14ac:dyDescent="0.35">
      <c r="A586"/>
    </row>
    <row r="587" spans="1:1" x14ac:dyDescent="0.35">
      <c r="A587"/>
    </row>
    <row r="588" spans="1:1" x14ac:dyDescent="0.35">
      <c r="A588"/>
    </row>
    <row r="589" spans="1:1" x14ac:dyDescent="0.35">
      <c r="A589"/>
    </row>
    <row r="590" spans="1:1" x14ac:dyDescent="0.35">
      <c r="A590"/>
    </row>
    <row r="591" spans="1:1" x14ac:dyDescent="0.35">
      <c r="A591"/>
    </row>
    <row r="592" spans="1:1" x14ac:dyDescent="0.35">
      <c r="A592"/>
    </row>
    <row r="593" spans="1:1" x14ac:dyDescent="0.35">
      <c r="A593"/>
    </row>
    <row r="594" spans="1:1" x14ac:dyDescent="0.35">
      <c r="A594"/>
    </row>
    <row r="595" spans="1:1" x14ac:dyDescent="0.35">
      <c r="A595"/>
    </row>
    <row r="596" spans="1:1" x14ac:dyDescent="0.35">
      <c r="A596"/>
    </row>
    <row r="597" spans="1:1" x14ac:dyDescent="0.35">
      <c r="A597"/>
    </row>
    <row r="598" spans="1:1" x14ac:dyDescent="0.35">
      <c r="A598"/>
    </row>
    <row r="599" spans="1:1" x14ac:dyDescent="0.35">
      <c r="A599"/>
    </row>
    <row r="600" spans="1:1" x14ac:dyDescent="0.35">
      <c r="A600"/>
    </row>
    <row r="601" spans="1:1" x14ac:dyDescent="0.35">
      <c r="A601"/>
    </row>
    <row r="602" spans="1:1" x14ac:dyDescent="0.35">
      <c r="A602"/>
    </row>
    <row r="603" spans="1:1" x14ac:dyDescent="0.35">
      <c r="A603"/>
    </row>
    <row r="604" spans="1:1" x14ac:dyDescent="0.35">
      <c r="A604"/>
    </row>
    <row r="605" spans="1:1" x14ac:dyDescent="0.35">
      <c r="A605"/>
    </row>
    <row r="606" spans="1:1" x14ac:dyDescent="0.35">
      <c r="A606"/>
    </row>
    <row r="607" spans="1:1" x14ac:dyDescent="0.35">
      <c r="A607"/>
    </row>
    <row r="608" spans="1:1" x14ac:dyDescent="0.35">
      <c r="A608"/>
    </row>
    <row r="609" spans="1:1" x14ac:dyDescent="0.35">
      <c r="A609"/>
    </row>
    <row r="610" spans="1:1" x14ac:dyDescent="0.35">
      <c r="A610"/>
    </row>
    <row r="611" spans="1:1" x14ac:dyDescent="0.35">
      <c r="A611"/>
    </row>
    <row r="612" spans="1:1" x14ac:dyDescent="0.35">
      <c r="A612"/>
    </row>
    <row r="613" spans="1:1" x14ac:dyDescent="0.35">
      <c r="A613"/>
    </row>
    <row r="614" spans="1:1" x14ac:dyDescent="0.35">
      <c r="A614"/>
    </row>
    <row r="615" spans="1:1" x14ac:dyDescent="0.35">
      <c r="A615"/>
    </row>
    <row r="616" spans="1:1" x14ac:dyDescent="0.35">
      <c r="A616"/>
    </row>
    <row r="617" spans="1:1" x14ac:dyDescent="0.35">
      <c r="A617"/>
    </row>
    <row r="618" spans="1:1" x14ac:dyDescent="0.35">
      <c r="A618"/>
    </row>
    <row r="619" spans="1:1" x14ac:dyDescent="0.35">
      <c r="A619"/>
    </row>
    <row r="620" spans="1:1" x14ac:dyDescent="0.35">
      <c r="A620"/>
    </row>
    <row r="621" spans="1:1" x14ac:dyDescent="0.35">
      <c r="A621"/>
    </row>
    <row r="622" spans="1:1" x14ac:dyDescent="0.35">
      <c r="A622"/>
    </row>
    <row r="623" spans="1:1" x14ac:dyDescent="0.35">
      <c r="A623"/>
    </row>
    <row r="624" spans="1:1" x14ac:dyDescent="0.35">
      <c r="A624"/>
    </row>
    <row r="625" spans="1:1" x14ac:dyDescent="0.35">
      <c r="A625"/>
    </row>
    <row r="626" spans="1:1" x14ac:dyDescent="0.35">
      <c r="A626"/>
    </row>
    <row r="627" spans="1:1" x14ac:dyDescent="0.35">
      <c r="A627"/>
    </row>
    <row r="628" spans="1:1" x14ac:dyDescent="0.35">
      <c r="A628"/>
    </row>
    <row r="629" spans="1:1" x14ac:dyDescent="0.35">
      <c r="A629"/>
    </row>
    <row r="630" spans="1:1" x14ac:dyDescent="0.35">
      <c r="A630"/>
    </row>
    <row r="631" spans="1:1" x14ac:dyDescent="0.35">
      <c r="A631"/>
    </row>
    <row r="632" spans="1:1" x14ac:dyDescent="0.35">
      <c r="A632"/>
    </row>
    <row r="633" spans="1:1" x14ac:dyDescent="0.35">
      <c r="A633"/>
    </row>
    <row r="634" spans="1:1" x14ac:dyDescent="0.35">
      <c r="A634"/>
    </row>
    <row r="635" spans="1:1" x14ac:dyDescent="0.35">
      <c r="A635"/>
    </row>
    <row r="636" spans="1:1" x14ac:dyDescent="0.35">
      <c r="A636"/>
    </row>
    <row r="637" spans="1:1" x14ac:dyDescent="0.35">
      <c r="A637"/>
    </row>
    <row r="638" spans="1:1" x14ac:dyDescent="0.35">
      <c r="A638"/>
    </row>
    <row r="639" spans="1:1" x14ac:dyDescent="0.35">
      <c r="A639"/>
    </row>
    <row r="640" spans="1:1" x14ac:dyDescent="0.35">
      <c r="A640"/>
    </row>
    <row r="641" spans="1:1" x14ac:dyDescent="0.35">
      <c r="A641"/>
    </row>
    <row r="642" spans="1:1" x14ac:dyDescent="0.35">
      <c r="A642"/>
    </row>
    <row r="643" spans="1:1" x14ac:dyDescent="0.35">
      <c r="A643"/>
    </row>
    <row r="644" spans="1:1" x14ac:dyDescent="0.35">
      <c r="A644"/>
    </row>
    <row r="645" spans="1:1" x14ac:dyDescent="0.35">
      <c r="A645"/>
    </row>
    <row r="646" spans="1:1" x14ac:dyDescent="0.35">
      <c r="A646"/>
    </row>
    <row r="647" spans="1:1" x14ac:dyDescent="0.35">
      <c r="A647"/>
    </row>
    <row r="648" spans="1:1" x14ac:dyDescent="0.35">
      <c r="A648"/>
    </row>
    <row r="649" spans="1:1" x14ac:dyDescent="0.35">
      <c r="A649"/>
    </row>
    <row r="650" spans="1:1" x14ac:dyDescent="0.35">
      <c r="A650"/>
    </row>
    <row r="651" spans="1:1" x14ac:dyDescent="0.35">
      <c r="A651"/>
    </row>
    <row r="652" spans="1:1" x14ac:dyDescent="0.35">
      <c r="A652"/>
    </row>
    <row r="653" spans="1:1" x14ac:dyDescent="0.35">
      <c r="A653"/>
    </row>
    <row r="654" spans="1:1" x14ac:dyDescent="0.35">
      <c r="A654"/>
    </row>
    <row r="655" spans="1:1" x14ac:dyDescent="0.35">
      <c r="A655"/>
    </row>
    <row r="656" spans="1:1" x14ac:dyDescent="0.35">
      <c r="A656"/>
    </row>
    <row r="657" spans="1:1" x14ac:dyDescent="0.35">
      <c r="A657"/>
    </row>
    <row r="658" spans="1:1" x14ac:dyDescent="0.35">
      <c r="A658"/>
    </row>
    <row r="659" spans="1:1" x14ac:dyDescent="0.35">
      <c r="A659"/>
    </row>
    <row r="660" spans="1:1" x14ac:dyDescent="0.35">
      <c r="A660"/>
    </row>
    <row r="661" spans="1:1" x14ac:dyDescent="0.35">
      <c r="A661"/>
    </row>
    <row r="662" spans="1:1" x14ac:dyDescent="0.35">
      <c r="A662"/>
    </row>
    <row r="663" spans="1:1" x14ac:dyDescent="0.35">
      <c r="A663"/>
    </row>
    <row r="664" spans="1:1" x14ac:dyDescent="0.35">
      <c r="A664"/>
    </row>
    <row r="665" spans="1:1" x14ac:dyDescent="0.35">
      <c r="A665"/>
    </row>
    <row r="666" spans="1:1" x14ac:dyDescent="0.35">
      <c r="A666"/>
    </row>
    <row r="667" spans="1:1" x14ac:dyDescent="0.35">
      <c r="A667"/>
    </row>
    <row r="668" spans="1:1" x14ac:dyDescent="0.35">
      <c r="A668"/>
    </row>
    <row r="669" spans="1:1" x14ac:dyDescent="0.35">
      <c r="A669"/>
    </row>
    <row r="670" spans="1:1" x14ac:dyDescent="0.35">
      <c r="A670"/>
    </row>
    <row r="671" spans="1:1" x14ac:dyDescent="0.35">
      <c r="A671"/>
    </row>
    <row r="672" spans="1:1" x14ac:dyDescent="0.35">
      <c r="A672"/>
    </row>
    <row r="673" spans="1:1" x14ac:dyDescent="0.35">
      <c r="A673"/>
    </row>
    <row r="674" spans="1:1" x14ac:dyDescent="0.35">
      <c r="A674"/>
    </row>
    <row r="675" spans="1:1" x14ac:dyDescent="0.35">
      <c r="A675"/>
    </row>
    <row r="676" spans="1:1" x14ac:dyDescent="0.35">
      <c r="A676"/>
    </row>
    <row r="677" spans="1:1" x14ac:dyDescent="0.35">
      <c r="A677"/>
    </row>
    <row r="678" spans="1:1" x14ac:dyDescent="0.35">
      <c r="A678"/>
    </row>
    <row r="679" spans="1:1" x14ac:dyDescent="0.35">
      <c r="A679"/>
    </row>
    <row r="680" spans="1:1" x14ac:dyDescent="0.35">
      <c r="A680"/>
    </row>
    <row r="681" spans="1:1" x14ac:dyDescent="0.35">
      <c r="A681"/>
    </row>
    <row r="682" spans="1:1" x14ac:dyDescent="0.35">
      <c r="A682"/>
    </row>
    <row r="683" spans="1:1" x14ac:dyDescent="0.35">
      <c r="A683"/>
    </row>
    <row r="684" spans="1:1" x14ac:dyDescent="0.35">
      <c r="A684"/>
    </row>
    <row r="685" spans="1:1" x14ac:dyDescent="0.35">
      <c r="A685"/>
    </row>
    <row r="686" spans="1:1" x14ac:dyDescent="0.35">
      <c r="A686"/>
    </row>
    <row r="687" spans="1:1" x14ac:dyDescent="0.35">
      <c r="A687"/>
    </row>
    <row r="688" spans="1:1" x14ac:dyDescent="0.35">
      <c r="A688"/>
    </row>
    <row r="689" spans="1:1" x14ac:dyDescent="0.35">
      <c r="A689"/>
    </row>
    <row r="690" spans="1:1" x14ac:dyDescent="0.35">
      <c r="A690"/>
    </row>
    <row r="691" spans="1:1" x14ac:dyDescent="0.35">
      <c r="A691"/>
    </row>
    <row r="692" spans="1:1" x14ac:dyDescent="0.35">
      <c r="A692"/>
    </row>
    <row r="693" spans="1:1" x14ac:dyDescent="0.35">
      <c r="A693"/>
    </row>
    <row r="694" spans="1:1" x14ac:dyDescent="0.35">
      <c r="A694"/>
    </row>
    <row r="695" spans="1:1" x14ac:dyDescent="0.35">
      <c r="A695"/>
    </row>
    <row r="696" spans="1:1" x14ac:dyDescent="0.35">
      <c r="A696"/>
    </row>
    <row r="697" spans="1:1" x14ac:dyDescent="0.35">
      <c r="A697"/>
    </row>
    <row r="698" spans="1:1" x14ac:dyDescent="0.35">
      <c r="A698"/>
    </row>
    <row r="699" spans="1:1" x14ac:dyDescent="0.35">
      <c r="A699"/>
    </row>
    <row r="700" spans="1:1" x14ac:dyDescent="0.35">
      <c r="A700"/>
    </row>
    <row r="701" spans="1:1" x14ac:dyDescent="0.35">
      <c r="A701"/>
    </row>
    <row r="702" spans="1:1" x14ac:dyDescent="0.35">
      <c r="A702"/>
    </row>
    <row r="703" spans="1:1" x14ac:dyDescent="0.35">
      <c r="A703"/>
    </row>
    <row r="704" spans="1:1" x14ac:dyDescent="0.35">
      <c r="A704"/>
    </row>
    <row r="705" spans="1:1" x14ac:dyDescent="0.35">
      <c r="A705"/>
    </row>
    <row r="706" spans="1:1" x14ac:dyDescent="0.35">
      <c r="A706"/>
    </row>
    <row r="707" spans="1:1" x14ac:dyDescent="0.35">
      <c r="A707"/>
    </row>
    <row r="708" spans="1:1" x14ac:dyDescent="0.35">
      <c r="A708"/>
    </row>
    <row r="709" spans="1:1" x14ac:dyDescent="0.35">
      <c r="A709"/>
    </row>
    <row r="710" spans="1:1" x14ac:dyDescent="0.35">
      <c r="A710"/>
    </row>
    <row r="711" spans="1:1" x14ac:dyDescent="0.35">
      <c r="A711"/>
    </row>
    <row r="712" spans="1:1" x14ac:dyDescent="0.35">
      <c r="A712"/>
    </row>
    <row r="713" spans="1:1" x14ac:dyDescent="0.35">
      <c r="A713"/>
    </row>
    <row r="714" spans="1:1" x14ac:dyDescent="0.35">
      <c r="A714"/>
    </row>
    <row r="715" spans="1:1" x14ac:dyDescent="0.35">
      <c r="A715"/>
    </row>
    <row r="716" spans="1:1" x14ac:dyDescent="0.35">
      <c r="A716"/>
    </row>
    <row r="717" spans="1:1" x14ac:dyDescent="0.35">
      <c r="A717"/>
    </row>
    <row r="718" spans="1:1" x14ac:dyDescent="0.35">
      <c r="A718"/>
    </row>
    <row r="719" spans="1:1" x14ac:dyDescent="0.35">
      <c r="A719"/>
    </row>
    <row r="720" spans="1:1" x14ac:dyDescent="0.35">
      <c r="A720"/>
    </row>
    <row r="721" spans="1:1" x14ac:dyDescent="0.35">
      <c r="A721"/>
    </row>
    <row r="722" spans="1:1" x14ac:dyDescent="0.35">
      <c r="A722"/>
    </row>
    <row r="723" spans="1:1" x14ac:dyDescent="0.35">
      <c r="A723"/>
    </row>
    <row r="724" spans="1:1" x14ac:dyDescent="0.35">
      <c r="A724"/>
    </row>
    <row r="725" spans="1:1" x14ac:dyDescent="0.35">
      <c r="A725"/>
    </row>
    <row r="726" spans="1:1" x14ac:dyDescent="0.35">
      <c r="A726"/>
    </row>
    <row r="727" spans="1:1" x14ac:dyDescent="0.35">
      <c r="A727"/>
    </row>
    <row r="728" spans="1:1" x14ac:dyDescent="0.35">
      <c r="A728"/>
    </row>
    <row r="729" spans="1:1" x14ac:dyDescent="0.35">
      <c r="A729"/>
    </row>
    <row r="730" spans="1:1" x14ac:dyDescent="0.35">
      <c r="A730"/>
    </row>
    <row r="731" spans="1:1" x14ac:dyDescent="0.35">
      <c r="A731"/>
    </row>
    <row r="732" spans="1:1" x14ac:dyDescent="0.35">
      <c r="A732"/>
    </row>
    <row r="733" spans="1:1" x14ac:dyDescent="0.35">
      <c r="A733"/>
    </row>
    <row r="734" spans="1:1" x14ac:dyDescent="0.35">
      <c r="A734"/>
    </row>
    <row r="735" spans="1:1" x14ac:dyDescent="0.35">
      <c r="A735"/>
    </row>
    <row r="736" spans="1:1" x14ac:dyDescent="0.35">
      <c r="A736"/>
    </row>
    <row r="737" spans="1:1" x14ac:dyDescent="0.35">
      <c r="A737"/>
    </row>
    <row r="738" spans="1:1" x14ac:dyDescent="0.35">
      <c r="A738"/>
    </row>
    <row r="739" spans="1:1" x14ac:dyDescent="0.35">
      <c r="A739"/>
    </row>
    <row r="740" spans="1:1" x14ac:dyDescent="0.35">
      <c r="A740"/>
    </row>
    <row r="741" spans="1:1" x14ac:dyDescent="0.35">
      <c r="A741"/>
    </row>
    <row r="742" spans="1:1" x14ac:dyDescent="0.35">
      <c r="A742"/>
    </row>
    <row r="743" spans="1:1" x14ac:dyDescent="0.35">
      <c r="A743"/>
    </row>
    <row r="744" spans="1:1" x14ac:dyDescent="0.35">
      <c r="A744"/>
    </row>
    <row r="745" spans="1:1" x14ac:dyDescent="0.35">
      <c r="A745"/>
    </row>
    <row r="746" spans="1:1" x14ac:dyDescent="0.35">
      <c r="A746"/>
    </row>
    <row r="747" spans="1:1" x14ac:dyDescent="0.35">
      <c r="A747"/>
    </row>
    <row r="748" spans="1:1" x14ac:dyDescent="0.35">
      <c r="A748"/>
    </row>
    <row r="749" spans="1:1" x14ac:dyDescent="0.35">
      <c r="A749"/>
    </row>
    <row r="750" spans="1:1" x14ac:dyDescent="0.35">
      <c r="A750"/>
    </row>
    <row r="751" spans="1:1" x14ac:dyDescent="0.35">
      <c r="A751"/>
    </row>
    <row r="752" spans="1:1" x14ac:dyDescent="0.35">
      <c r="A752"/>
    </row>
    <row r="753" spans="1:1" x14ac:dyDescent="0.35">
      <c r="A753"/>
    </row>
    <row r="754" spans="1:1" x14ac:dyDescent="0.35">
      <c r="A754"/>
    </row>
    <row r="755" spans="1:1" x14ac:dyDescent="0.35">
      <c r="A755"/>
    </row>
    <row r="756" spans="1:1" x14ac:dyDescent="0.35">
      <c r="A756"/>
    </row>
    <row r="757" spans="1:1" x14ac:dyDescent="0.35">
      <c r="A757"/>
    </row>
    <row r="758" spans="1:1" x14ac:dyDescent="0.35">
      <c r="A758"/>
    </row>
    <row r="759" spans="1:1" x14ac:dyDescent="0.35">
      <c r="A759"/>
    </row>
    <row r="760" spans="1:1" x14ac:dyDescent="0.35">
      <c r="A760"/>
    </row>
    <row r="761" spans="1:1" x14ac:dyDescent="0.35">
      <c r="A761"/>
    </row>
    <row r="762" spans="1:1" x14ac:dyDescent="0.35">
      <c r="A762"/>
    </row>
    <row r="763" spans="1:1" x14ac:dyDescent="0.35">
      <c r="A763"/>
    </row>
    <row r="764" spans="1:1" x14ac:dyDescent="0.35">
      <c r="A764"/>
    </row>
    <row r="765" spans="1:1" x14ac:dyDescent="0.35">
      <c r="A765"/>
    </row>
    <row r="766" spans="1:1" x14ac:dyDescent="0.35">
      <c r="A766"/>
    </row>
    <row r="767" spans="1:1" x14ac:dyDescent="0.35">
      <c r="A767"/>
    </row>
    <row r="768" spans="1:1" x14ac:dyDescent="0.35">
      <c r="A768"/>
    </row>
    <row r="769" spans="1:1" x14ac:dyDescent="0.35">
      <c r="A769"/>
    </row>
    <row r="770" spans="1:1" x14ac:dyDescent="0.35">
      <c r="A770"/>
    </row>
    <row r="771" spans="1:1" x14ac:dyDescent="0.35">
      <c r="A771"/>
    </row>
    <row r="772" spans="1:1" x14ac:dyDescent="0.35">
      <c r="A772"/>
    </row>
    <row r="773" spans="1:1" x14ac:dyDescent="0.35">
      <c r="A773"/>
    </row>
    <row r="774" spans="1:1" x14ac:dyDescent="0.35">
      <c r="A774"/>
    </row>
    <row r="775" spans="1:1" x14ac:dyDescent="0.35">
      <c r="A775"/>
    </row>
    <row r="776" spans="1:1" x14ac:dyDescent="0.35">
      <c r="A776"/>
    </row>
    <row r="777" spans="1:1" x14ac:dyDescent="0.35">
      <c r="A777"/>
    </row>
    <row r="778" spans="1:1" x14ac:dyDescent="0.35">
      <c r="A778"/>
    </row>
    <row r="779" spans="1:1" x14ac:dyDescent="0.35">
      <c r="A779"/>
    </row>
    <row r="780" spans="1:1" x14ac:dyDescent="0.35">
      <c r="A780"/>
    </row>
    <row r="781" spans="1:1" x14ac:dyDescent="0.35">
      <c r="A781"/>
    </row>
    <row r="782" spans="1:1" x14ac:dyDescent="0.35">
      <c r="A782"/>
    </row>
    <row r="783" spans="1:1" x14ac:dyDescent="0.35">
      <c r="A783"/>
    </row>
    <row r="784" spans="1:1" x14ac:dyDescent="0.35">
      <c r="A784"/>
    </row>
    <row r="785" spans="1:1" x14ac:dyDescent="0.35">
      <c r="A785"/>
    </row>
    <row r="786" spans="1:1" x14ac:dyDescent="0.35">
      <c r="A786"/>
    </row>
    <row r="787" spans="1:1" x14ac:dyDescent="0.35">
      <c r="A787"/>
    </row>
    <row r="788" spans="1:1" x14ac:dyDescent="0.35">
      <c r="A788"/>
    </row>
    <row r="789" spans="1:1" x14ac:dyDescent="0.35">
      <c r="A789"/>
    </row>
    <row r="790" spans="1:1" x14ac:dyDescent="0.35">
      <c r="A790"/>
    </row>
    <row r="791" spans="1:1" x14ac:dyDescent="0.35">
      <c r="A791"/>
    </row>
    <row r="792" spans="1:1" x14ac:dyDescent="0.35">
      <c r="A792"/>
    </row>
    <row r="793" spans="1:1" x14ac:dyDescent="0.35">
      <c r="A793"/>
    </row>
    <row r="794" spans="1:1" x14ac:dyDescent="0.35">
      <c r="A794"/>
    </row>
    <row r="795" spans="1:1" x14ac:dyDescent="0.35">
      <c r="A795"/>
    </row>
    <row r="796" spans="1:1" x14ac:dyDescent="0.35">
      <c r="A796"/>
    </row>
    <row r="797" spans="1:1" x14ac:dyDescent="0.35">
      <c r="A797"/>
    </row>
    <row r="798" spans="1:1" x14ac:dyDescent="0.35">
      <c r="A798"/>
    </row>
    <row r="799" spans="1:1" x14ac:dyDescent="0.35">
      <c r="A799"/>
    </row>
    <row r="800" spans="1:1" x14ac:dyDescent="0.35">
      <c r="A800"/>
    </row>
    <row r="801" spans="1:1" x14ac:dyDescent="0.35">
      <c r="A801"/>
    </row>
    <row r="802" spans="1:1" x14ac:dyDescent="0.35">
      <c r="A802"/>
    </row>
    <row r="803" spans="1:1" x14ac:dyDescent="0.35">
      <c r="A803"/>
    </row>
    <row r="804" spans="1:1" x14ac:dyDescent="0.35">
      <c r="A804"/>
    </row>
    <row r="805" spans="1:1" x14ac:dyDescent="0.35">
      <c r="A805"/>
    </row>
    <row r="806" spans="1:1" x14ac:dyDescent="0.35">
      <c r="A806"/>
    </row>
    <row r="807" spans="1:1" x14ac:dyDescent="0.35">
      <c r="A807"/>
    </row>
    <row r="808" spans="1:1" x14ac:dyDescent="0.35">
      <c r="A808"/>
    </row>
    <row r="809" spans="1:1" x14ac:dyDescent="0.35">
      <c r="A809"/>
    </row>
    <row r="810" spans="1:1" x14ac:dyDescent="0.35">
      <c r="A810"/>
    </row>
    <row r="811" spans="1:1" x14ac:dyDescent="0.35">
      <c r="A811"/>
    </row>
    <row r="812" spans="1:1" x14ac:dyDescent="0.35">
      <c r="A812"/>
    </row>
    <row r="813" spans="1:1" x14ac:dyDescent="0.35">
      <c r="A813"/>
    </row>
    <row r="814" spans="1:1" x14ac:dyDescent="0.35">
      <c r="A814"/>
    </row>
    <row r="815" spans="1:1" x14ac:dyDescent="0.35">
      <c r="A815"/>
    </row>
    <row r="816" spans="1:1" x14ac:dyDescent="0.35">
      <c r="A816"/>
    </row>
    <row r="817" spans="1:1" x14ac:dyDescent="0.35">
      <c r="A817"/>
    </row>
    <row r="818" spans="1:1" x14ac:dyDescent="0.35">
      <c r="A818"/>
    </row>
    <row r="819" spans="1:1" x14ac:dyDescent="0.35">
      <c r="A819"/>
    </row>
    <row r="820" spans="1:1" x14ac:dyDescent="0.35">
      <c r="A820"/>
    </row>
    <row r="821" spans="1:1" x14ac:dyDescent="0.35">
      <c r="A821"/>
    </row>
    <row r="822" spans="1:1" x14ac:dyDescent="0.35">
      <c r="A822"/>
    </row>
    <row r="823" spans="1:1" x14ac:dyDescent="0.35">
      <c r="A823"/>
    </row>
    <row r="824" spans="1:1" x14ac:dyDescent="0.35">
      <c r="A824"/>
    </row>
    <row r="825" spans="1:1" x14ac:dyDescent="0.35">
      <c r="A825"/>
    </row>
    <row r="826" spans="1:1" x14ac:dyDescent="0.35">
      <c r="A826"/>
    </row>
    <row r="827" spans="1:1" x14ac:dyDescent="0.35">
      <c r="A827"/>
    </row>
    <row r="828" spans="1:1" x14ac:dyDescent="0.35">
      <c r="A828"/>
    </row>
    <row r="829" spans="1:1" x14ac:dyDescent="0.35">
      <c r="A829"/>
    </row>
    <row r="830" spans="1:1" x14ac:dyDescent="0.35">
      <c r="A830"/>
    </row>
    <row r="831" spans="1:1" x14ac:dyDescent="0.35">
      <c r="A831"/>
    </row>
    <row r="832" spans="1:1" x14ac:dyDescent="0.35">
      <c r="A832"/>
    </row>
    <row r="833" spans="1:1" x14ac:dyDescent="0.35">
      <c r="A833"/>
    </row>
    <row r="834" spans="1:1" x14ac:dyDescent="0.35">
      <c r="A834"/>
    </row>
    <row r="835" spans="1:1" x14ac:dyDescent="0.35">
      <c r="A835"/>
    </row>
    <row r="836" spans="1:1" x14ac:dyDescent="0.35">
      <c r="A836"/>
    </row>
    <row r="837" spans="1:1" x14ac:dyDescent="0.35">
      <c r="A837"/>
    </row>
    <row r="838" spans="1:1" x14ac:dyDescent="0.35">
      <c r="A838"/>
    </row>
    <row r="839" spans="1:1" x14ac:dyDescent="0.35">
      <c r="A839"/>
    </row>
    <row r="840" spans="1:1" x14ac:dyDescent="0.35">
      <c r="A840"/>
    </row>
    <row r="841" spans="1:1" x14ac:dyDescent="0.35">
      <c r="A841"/>
    </row>
    <row r="842" spans="1:1" x14ac:dyDescent="0.35">
      <c r="A842"/>
    </row>
    <row r="843" spans="1:1" x14ac:dyDescent="0.35">
      <c r="A843"/>
    </row>
    <row r="844" spans="1:1" x14ac:dyDescent="0.35">
      <c r="A844"/>
    </row>
    <row r="845" spans="1:1" x14ac:dyDescent="0.35">
      <c r="A845"/>
    </row>
    <row r="846" spans="1:1" x14ac:dyDescent="0.35">
      <c r="A846"/>
    </row>
    <row r="847" spans="1:1" x14ac:dyDescent="0.35">
      <c r="A847"/>
    </row>
    <row r="848" spans="1:1" x14ac:dyDescent="0.35">
      <c r="A848"/>
    </row>
    <row r="849" spans="1:1" x14ac:dyDescent="0.35">
      <c r="A849"/>
    </row>
    <row r="850" spans="1:1" x14ac:dyDescent="0.35">
      <c r="A850"/>
    </row>
    <row r="851" spans="1:1" x14ac:dyDescent="0.35">
      <c r="A851"/>
    </row>
    <row r="852" spans="1:1" x14ac:dyDescent="0.35">
      <c r="A852"/>
    </row>
    <row r="853" spans="1:1" x14ac:dyDescent="0.35">
      <c r="A853"/>
    </row>
    <row r="854" spans="1:1" x14ac:dyDescent="0.35">
      <c r="A854"/>
    </row>
    <row r="855" spans="1:1" x14ac:dyDescent="0.35">
      <c r="A855"/>
    </row>
    <row r="856" spans="1:1" x14ac:dyDescent="0.35">
      <c r="A856"/>
    </row>
    <row r="857" spans="1:1" x14ac:dyDescent="0.35">
      <c r="A857"/>
    </row>
    <row r="858" spans="1:1" x14ac:dyDescent="0.35">
      <c r="A858"/>
    </row>
    <row r="859" spans="1:1" x14ac:dyDescent="0.35">
      <c r="A859"/>
    </row>
    <row r="860" spans="1:1" x14ac:dyDescent="0.35">
      <c r="A860"/>
    </row>
    <row r="861" spans="1:1" x14ac:dyDescent="0.35">
      <c r="A861"/>
    </row>
    <row r="862" spans="1:1" x14ac:dyDescent="0.35">
      <c r="A862"/>
    </row>
    <row r="863" spans="1:1" x14ac:dyDescent="0.35">
      <c r="A863"/>
    </row>
    <row r="864" spans="1:1" x14ac:dyDescent="0.35">
      <c r="A864"/>
    </row>
    <row r="865" spans="1:1" x14ac:dyDescent="0.35">
      <c r="A865"/>
    </row>
    <row r="866" spans="1:1" x14ac:dyDescent="0.35">
      <c r="A866"/>
    </row>
    <row r="867" spans="1:1" x14ac:dyDescent="0.35">
      <c r="A867"/>
    </row>
    <row r="868" spans="1:1" x14ac:dyDescent="0.35">
      <c r="A868"/>
    </row>
    <row r="869" spans="1:1" x14ac:dyDescent="0.35">
      <c r="A869"/>
    </row>
    <row r="870" spans="1:1" x14ac:dyDescent="0.35">
      <c r="A870"/>
    </row>
    <row r="871" spans="1:1" x14ac:dyDescent="0.35">
      <c r="A871"/>
    </row>
    <row r="872" spans="1:1" x14ac:dyDescent="0.35">
      <c r="A872"/>
    </row>
    <row r="873" spans="1:1" x14ac:dyDescent="0.35">
      <c r="A873"/>
    </row>
    <row r="874" spans="1:1" x14ac:dyDescent="0.35">
      <c r="A874"/>
    </row>
    <row r="875" spans="1:1" x14ac:dyDescent="0.35">
      <c r="A875"/>
    </row>
    <row r="876" spans="1:1" x14ac:dyDescent="0.35">
      <c r="A876"/>
    </row>
    <row r="877" spans="1:1" x14ac:dyDescent="0.35">
      <c r="A877"/>
    </row>
    <row r="878" spans="1:1" x14ac:dyDescent="0.35">
      <c r="A878"/>
    </row>
    <row r="879" spans="1:1" x14ac:dyDescent="0.35">
      <c r="A879"/>
    </row>
    <row r="880" spans="1:1" x14ac:dyDescent="0.35">
      <c r="A880"/>
    </row>
    <row r="881" spans="1:1" x14ac:dyDescent="0.35">
      <c r="A881"/>
    </row>
    <row r="882" spans="1:1" x14ac:dyDescent="0.35">
      <c r="A882"/>
    </row>
    <row r="883" spans="1:1" x14ac:dyDescent="0.35">
      <c r="A883"/>
    </row>
    <row r="884" spans="1:1" x14ac:dyDescent="0.35">
      <c r="A884"/>
    </row>
    <row r="885" spans="1:1" x14ac:dyDescent="0.35">
      <c r="A885"/>
    </row>
    <row r="886" spans="1:1" x14ac:dyDescent="0.35">
      <c r="A886"/>
    </row>
    <row r="887" spans="1:1" x14ac:dyDescent="0.35">
      <c r="A887"/>
    </row>
    <row r="888" spans="1:1" x14ac:dyDescent="0.35">
      <c r="A888"/>
    </row>
    <row r="889" spans="1:1" x14ac:dyDescent="0.35">
      <c r="A889"/>
    </row>
    <row r="890" spans="1:1" x14ac:dyDescent="0.35">
      <c r="A890"/>
    </row>
    <row r="891" spans="1:1" x14ac:dyDescent="0.35">
      <c r="A891"/>
    </row>
    <row r="892" spans="1:1" x14ac:dyDescent="0.35">
      <c r="A892"/>
    </row>
    <row r="893" spans="1:1" x14ac:dyDescent="0.35">
      <c r="A893"/>
    </row>
    <row r="894" spans="1:1" x14ac:dyDescent="0.35">
      <c r="A894"/>
    </row>
    <row r="895" spans="1:1" x14ac:dyDescent="0.35">
      <c r="A895"/>
    </row>
    <row r="896" spans="1:1" x14ac:dyDescent="0.35">
      <c r="A896"/>
    </row>
    <row r="897" spans="1:1" x14ac:dyDescent="0.35">
      <c r="A897"/>
    </row>
    <row r="898" spans="1:1" x14ac:dyDescent="0.35">
      <c r="A898"/>
    </row>
    <row r="899" spans="1:1" x14ac:dyDescent="0.35">
      <c r="A899"/>
    </row>
    <row r="900" spans="1:1" x14ac:dyDescent="0.35">
      <c r="A900"/>
    </row>
    <row r="901" spans="1:1" x14ac:dyDescent="0.35">
      <c r="A901"/>
    </row>
    <row r="902" spans="1:1" x14ac:dyDescent="0.35">
      <c r="A902"/>
    </row>
    <row r="903" spans="1:1" x14ac:dyDescent="0.35">
      <c r="A903"/>
    </row>
    <row r="904" spans="1:1" x14ac:dyDescent="0.35">
      <c r="A904"/>
    </row>
    <row r="905" spans="1:1" x14ac:dyDescent="0.35">
      <c r="A905"/>
    </row>
    <row r="906" spans="1:1" x14ac:dyDescent="0.35">
      <c r="A906"/>
    </row>
    <row r="907" spans="1:1" x14ac:dyDescent="0.35">
      <c r="A907"/>
    </row>
    <row r="908" spans="1:1" x14ac:dyDescent="0.35">
      <c r="A908"/>
    </row>
    <row r="909" spans="1:1" x14ac:dyDescent="0.35">
      <c r="A909"/>
    </row>
    <row r="910" spans="1:1" x14ac:dyDescent="0.35">
      <c r="A910"/>
    </row>
    <row r="911" spans="1:1" x14ac:dyDescent="0.35">
      <c r="A911"/>
    </row>
    <row r="912" spans="1:1" x14ac:dyDescent="0.35">
      <c r="A912"/>
    </row>
    <row r="913" spans="1:1" x14ac:dyDescent="0.35">
      <c r="A913"/>
    </row>
    <row r="914" spans="1:1" x14ac:dyDescent="0.35">
      <c r="A914"/>
    </row>
    <row r="915" spans="1:1" x14ac:dyDescent="0.35">
      <c r="A915"/>
    </row>
    <row r="916" spans="1:1" x14ac:dyDescent="0.35">
      <c r="A916"/>
    </row>
    <row r="917" spans="1:1" x14ac:dyDescent="0.35">
      <c r="A917"/>
    </row>
    <row r="918" spans="1:1" x14ac:dyDescent="0.35">
      <c r="A918"/>
    </row>
    <row r="919" spans="1:1" x14ac:dyDescent="0.35">
      <c r="A919"/>
    </row>
    <row r="920" spans="1:1" x14ac:dyDescent="0.35">
      <c r="A920"/>
    </row>
    <row r="921" spans="1:1" x14ac:dyDescent="0.35">
      <c r="A921"/>
    </row>
    <row r="922" spans="1:1" x14ac:dyDescent="0.35">
      <c r="A922"/>
    </row>
    <row r="923" spans="1:1" x14ac:dyDescent="0.35">
      <c r="A923"/>
    </row>
    <row r="924" spans="1:1" x14ac:dyDescent="0.35">
      <c r="A924"/>
    </row>
    <row r="925" spans="1:1" x14ac:dyDescent="0.35">
      <c r="A925"/>
    </row>
    <row r="926" spans="1:1" x14ac:dyDescent="0.35">
      <c r="A926"/>
    </row>
    <row r="927" spans="1:1" x14ac:dyDescent="0.35">
      <c r="A927"/>
    </row>
    <row r="928" spans="1:1" x14ac:dyDescent="0.35">
      <c r="A928"/>
    </row>
    <row r="929" spans="1:1" x14ac:dyDescent="0.35">
      <c r="A929"/>
    </row>
    <row r="930" spans="1:1" x14ac:dyDescent="0.35">
      <c r="A930"/>
    </row>
    <row r="931" spans="1:1" x14ac:dyDescent="0.35">
      <c r="A931"/>
    </row>
    <row r="932" spans="1:1" x14ac:dyDescent="0.35">
      <c r="A932"/>
    </row>
    <row r="933" spans="1:1" x14ac:dyDescent="0.35">
      <c r="A933"/>
    </row>
    <row r="934" spans="1:1" x14ac:dyDescent="0.35">
      <c r="A934"/>
    </row>
    <row r="935" spans="1:1" x14ac:dyDescent="0.35">
      <c r="A935"/>
    </row>
    <row r="936" spans="1:1" x14ac:dyDescent="0.35">
      <c r="A936"/>
    </row>
    <row r="937" spans="1:1" x14ac:dyDescent="0.35">
      <c r="A937"/>
    </row>
    <row r="938" spans="1:1" x14ac:dyDescent="0.35">
      <c r="A938"/>
    </row>
    <row r="939" spans="1:1" x14ac:dyDescent="0.35">
      <c r="A939"/>
    </row>
    <row r="940" spans="1:1" x14ac:dyDescent="0.35">
      <c r="A940"/>
    </row>
    <row r="941" spans="1:1" x14ac:dyDescent="0.35">
      <c r="A941"/>
    </row>
    <row r="942" spans="1:1" x14ac:dyDescent="0.35">
      <c r="A942"/>
    </row>
    <row r="943" spans="1:1" x14ac:dyDescent="0.35">
      <c r="A943"/>
    </row>
    <row r="944" spans="1:1" x14ac:dyDescent="0.35">
      <c r="A944"/>
    </row>
    <row r="945" spans="1:1" x14ac:dyDescent="0.35">
      <c r="A945"/>
    </row>
    <row r="946" spans="1:1" x14ac:dyDescent="0.35">
      <c r="A946"/>
    </row>
    <row r="947" spans="1:1" x14ac:dyDescent="0.35">
      <c r="A947"/>
    </row>
    <row r="948" spans="1:1" x14ac:dyDescent="0.35">
      <c r="A948"/>
    </row>
    <row r="949" spans="1:1" x14ac:dyDescent="0.35">
      <c r="A949"/>
    </row>
    <row r="950" spans="1:1" x14ac:dyDescent="0.35">
      <c r="A950"/>
    </row>
    <row r="951" spans="1:1" x14ac:dyDescent="0.35">
      <c r="A951"/>
    </row>
    <row r="952" spans="1:1" x14ac:dyDescent="0.35">
      <c r="A952"/>
    </row>
    <row r="953" spans="1:1" x14ac:dyDescent="0.35">
      <c r="A953"/>
    </row>
    <row r="954" spans="1:1" x14ac:dyDescent="0.35">
      <c r="A954"/>
    </row>
    <row r="955" spans="1:1" x14ac:dyDescent="0.35">
      <c r="A955"/>
    </row>
    <row r="956" spans="1:1" x14ac:dyDescent="0.35">
      <c r="A956"/>
    </row>
    <row r="957" spans="1:1" x14ac:dyDescent="0.35">
      <c r="A957"/>
    </row>
    <row r="958" spans="1:1" x14ac:dyDescent="0.35">
      <c r="A958"/>
    </row>
    <row r="959" spans="1:1" x14ac:dyDescent="0.35">
      <c r="A959"/>
    </row>
    <row r="960" spans="1:1" x14ac:dyDescent="0.35">
      <c r="A960"/>
    </row>
    <row r="961" spans="1:1" x14ac:dyDescent="0.35">
      <c r="A961"/>
    </row>
    <row r="962" spans="1:1" x14ac:dyDescent="0.35">
      <c r="A962"/>
    </row>
    <row r="963" spans="1:1" x14ac:dyDescent="0.35">
      <c r="A963"/>
    </row>
    <row r="964" spans="1:1" x14ac:dyDescent="0.35">
      <c r="A964"/>
    </row>
    <row r="965" spans="1:1" x14ac:dyDescent="0.35">
      <c r="A965"/>
    </row>
    <row r="966" spans="1:1" x14ac:dyDescent="0.35">
      <c r="A966"/>
    </row>
    <row r="967" spans="1:1" x14ac:dyDescent="0.35">
      <c r="A967"/>
    </row>
    <row r="968" spans="1:1" x14ac:dyDescent="0.35">
      <c r="A968"/>
    </row>
    <row r="969" spans="1:1" x14ac:dyDescent="0.35">
      <c r="A969"/>
    </row>
    <row r="970" spans="1:1" x14ac:dyDescent="0.35">
      <c r="A970"/>
    </row>
    <row r="971" spans="1:1" x14ac:dyDescent="0.35">
      <c r="A971"/>
    </row>
    <row r="972" spans="1:1" x14ac:dyDescent="0.35">
      <c r="A972"/>
    </row>
  </sheetData>
  <conditionalFormatting sqref="F7:AC106">
    <cfRule type="notContainsBlanks" dxfId="23" priority="1">
      <formula>LEN(TRIM(F7))&gt;0</formula>
    </cfRule>
  </conditionalFormatting>
  <pageMargins left="0.7" right="0.7" top="0.75" bottom="0.75" header="0.3" footer="0.3"/>
  <pageSetup paperSize="9" orientation="portrait" horizontalDpi="0" verticalDpi="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27977-10C8-4A94-9897-4CC90B49FEA4}">
  <dimension ref="A1:AP49"/>
  <sheetViews>
    <sheetView showGridLines="0" zoomScale="85" zoomScaleNormal="85" workbookViewId="0">
      <pane xSplit="2" ySplit="3" topLeftCell="C4" activePane="bottomRight" state="frozen"/>
      <selection pane="topRight" activeCell="E1" sqref="E1"/>
      <selection pane="bottomLeft" activeCell="A4" sqref="A4"/>
      <selection pane="bottomRight" activeCell="D35" sqref="D35"/>
    </sheetView>
  </sheetViews>
  <sheetFormatPr defaultColWidth="8.85546875" defaultRowHeight="15" outlineLevelCol="1" x14ac:dyDescent="0.25"/>
  <cols>
    <col min="1" max="1" width="18" customWidth="1"/>
    <col min="2" max="2" width="33.140625" customWidth="1"/>
    <col min="3" max="6" width="45.28515625" customWidth="1"/>
    <col min="7" max="11" width="33.140625" customWidth="1"/>
    <col min="12" max="12" width="29.42578125" customWidth="1" outlineLevel="1"/>
    <col min="13" max="13" width="11.42578125" style="9" customWidth="1" outlineLevel="1"/>
    <col min="14" max="14" width="33.140625" customWidth="1" outlineLevel="1"/>
    <col min="15" max="15" width="13.42578125" style="9" customWidth="1" outlineLevel="1"/>
    <col min="16" max="16" width="22" style="9" customWidth="1"/>
    <col min="17" max="17" width="13.28515625" style="9" customWidth="1"/>
    <col min="18" max="18" width="17.42578125" customWidth="1"/>
    <col min="19" max="19" width="41" customWidth="1"/>
    <col min="20" max="20" width="24" customWidth="1" outlineLevel="1"/>
    <col min="21" max="21" width="11.7109375" customWidth="1" outlineLevel="1"/>
    <col min="22" max="22" width="24" customWidth="1" outlineLevel="1"/>
    <col min="23" max="23" width="11.7109375" customWidth="1" outlineLevel="1"/>
    <col min="24" max="24" width="14" customWidth="1"/>
    <col min="25" max="25" width="11.7109375" customWidth="1"/>
    <col min="26" max="26" width="25.42578125" customWidth="1"/>
    <col min="27" max="27" width="32.140625" customWidth="1"/>
    <col min="28" max="29" width="20.140625" customWidth="1"/>
    <col min="30" max="30" width="20.140625" style="8" customWidth="1"/>
    <col min="31" max="31" width="22.28515625" customWidth="1"/>
    <col min="32" max="32" width="12.42578125" style="8" customWidth="1"/>
    <col min="33" max="35" width="23.85546875" style="8" customWidth="1"/>
    <col min="36" max="36" width="20.140625" style="8" customWidth="1"/>
    <col min="37" max="42" width="12.42578125" style="8" customWidth="1"/>
  </cols>
  <sheetData>
    <row r="1" spans="1:42" s="1" customFormat="1" ht="105" customHeight="1" x14ac:dyDescent="0.25">
      <c r="A1" s="59"/>
      <c r="B1" s="59"/>
      <c r="C1" s="59"/>
      <c r="D1" s="59"/>
      <c r="E1" s="59"/>
      <c r="F1" s="59"/>
      <c r="G1" s="59"/>
      <c r="H1" s="59"/>
      <c r="I1" s="59"/>
      <c r="J1" s="59"/>
      <c r="K1" s="59"/>
      <c r="L1" s="59"/>
      <c r="M1" s="60"/>
      <c r="N1" s="61"/>
      <c r="O1" s="62"/>
      <c r="P1" s="62"/>
      <c r="Q1" s="62"/>
      <c r="R1" s="61"/>
      <c r="S1" s="61"/>
      <c r="T1" s="61"/>
      <c r="U1" s="61"/>
      <c r="V1" s="61"/>
      <c r="W1" s="61"/>
      <c r="X1" s="61"/>
      <c r="Y1" s="61"/>
      <c r="Z1" s="61"/>
      <c r="AA1" s="61"/>
      <c r="AB1" s="61"/>
      <c r="AC1" s="61"/>
      <c r="AD1" s="63"/>
      <c r="AE1" s="61"/>
      <c r="AF1" s="63"/>
      <c r="AG1" s="63"/>
      <c r="AH1" s="63"/>
      <c r="AI1" s="63"/>
      <c r="AJ1" s="63"/>
      <c r="AK1" s="63"/>
      <c r="AL1" s="63"/>
      <c r="AM1" s="63"/>
      <c r="AN1" s="63"/>
      <c r="AO1" s="63"/>
      <c r="AP1" s="63"/>
    </row>
    <row r="2" spans="1:42" s="1" customFormat="1" ht="24" customHeight="1" x14ac:dyDescent="0.25">
      <c r="A2" s="47"/>
      <c r="B2" s="47" t="s">
        <v>42</v>
      </c>
      <c r="C2" s="47"/>
      <c r="D2" s="47"/>
      <c r="E2" s="47"/>
      <c r="F2" s="47"/>
      <c r="G2" s="47"/>
      <c r="H2" s="47"/>
      <c r="I2" s="47"/>
      <c r="J2" s="47"/>
      <c r="K2" s="47"/>
      <c r="L2" s="167" t="s">
        <v>15</v>
      </c>
      <c r="M2" s="167"/>
      <c r="N2" s="167"/>
      <c r="O2" s="167"/>
      <c r="P2" s="167"/>
      <c r="Q2" s="167"/>
      <c r="R2" s="165" t="s">
        <v>30</v>
      </c>
      <c r="S2" s="165"/>
      <c r="T2" s="168" t="s">
        <v>40</v>
      </c>
      <c r="U2" s="168"/>
      <c r="V2" s="168"/>
      <c r="W2" s="168"/>
      <c r="X2" s="168"/>
      <c r="Y2" s="168"/>
      <c r="Z2" s="166" t="s">
        <v>43</v>
      </c>
      <c r="AA2" s="166"/>
      <c r="AB2" s="166"/>
      <c r="AC2" s="166"/>
      <c r="AD2" s="166"/>
      <c r="AE2" s="166"/>
      <c r="AF2" s="163" t="s">
        <v>132</v>
      </c>
      <c r="AG2" s="164"/>
      <c r="AH2" s="164"/>
      <c r="AI2" s="164"/>
      <c r="AJ2" s="164"/>
      <c r="AK2" s="164"/>
      <c r="AL2" s="164"/>
      <c r="AM2" s="164"/>
      <c r="AN2" s="164"/>
      <c r="AO2" s="164"/>
      <c r="AP2" s="164"/>
    </row>
    <row r="3" spans="1:42" s="8" customFormat="1" ht="50.25" customHeight="1" x14ac:dyDescent="0.25">
      <c r="A3" s="11" t="s">
        <v>1</v>
      </c>
      <c r="B3" s="11" t="s">
        <v>2</v>
      </c>
      <c r="C3" s="11" t="s">
        <v>3</v>
      </c>
      <c r="D3" s="11" t="s">
        <v>178</v>
      </c>
      <c r="E3" s="11" t="s">
        <v>7</v>
      </c>
      <c r="F3" s="11" t="s">
        <v>6</v>
      </c>
      <c r="G3" s="11" t="s">
        <v>4</v>
      </c>
      <c r="H3" s="11" t="s">
        <v>5</v>
      </c>
      <c r="I3" s="11" t="s">
        <v>34</v>
      </c>
      <c r="J3" s="11" t="s">
        <v>24</v>
      </c>
      <c r="K3" s="11" t="s">
        <v>25</v>
      </c>
      <c r="L3" s="15" t="s">
        <v>36</v>
      </c>
      <c r="M3" s="15" t="s">
        <v>37</v>
      </c>
      <c r="N3" s="15" t="s">
        <v>38</v>
      </c>
      <c r="O3" s="15" t="s">
        <v>39</v>
      </c>
      <c r="P3" s="18" t="s">
        <v>80</v>
      </c>
      <c r="Q3" s="18" t="s">
        <v>84</v>
      </c>
      <c r="R3" s="11" t="s">
        <v>41</v>
      </c>
      <c r="S3" s="11" t="s">
        <v>35</v>
      </c>
      <c r="T3" s="11" t="s">
        <v>26</v>
      </c>
      <c r="U3" s="11" t="s">
        <v>27</v>
      </c>
      <c r="V3" s="11" t="s">
        <v>28</v>
      </c>
      <c r="W3" s="11" t="s">
        <v>29</v>
      </c>
      <c r="X3" s="19" t="s">
        <v>85</v>
      </c>
      <c r="Y3" s="19" t="s">
        <v>86</v>
      </c>
      <c r="Z3" s="15" t="s">
        <v>17</v>
      </c>
      <c r="AA3" s="15" t="s">
        <v>79</v>
      </c>
      <c r="AB3" s="55" t="s">
        <v>31</v>
      </c>
      <c r="AC3" s="15" t="s">
        <v>114</v>
      </c>
      <c r="AD3" s="15" t="s">
        <v>32</v>
      </c>
      <c r="AE3" s="15" t="s">
        <v>33</v>
      </c>
      <c r="AF3" s="40" t="s">
        <v>130</v>
      </c>
      <c r="AG3" s="40" t="s">
        <v>311</v>
      </c>
      <c r="AH3" s="40" t="s">
        <v>326</v>
      </c>
      <c r="AI3" s="40" t="s">
        <v>327</v>
      </c>
      <c r="AJ3" s="40" t="s">
        <v>133</v>
      </c>
      <c r="AK3" s="40" t="s">
        <v>134</v>
      </c>
      <c r="AL3" s="40" t="s">
        <v>164</v>
      </c>
      <c r="AM3" s="40" t="s">
        <v>306</v>
      </c>
      <c r="AN3" s="40" t="s">
        <v>307</v>
      </c>
      <c r="AO3" s="40" t="s">
        <v>305</v>
      </c>
      <c r="AP3" s="40" t="s">
        <v>161</v>
      </c>
    </row>
    <row r="4" spans="1:42" s="16" customFormat="1" ht="30" x14ac:dyDescent="0.25">
      <c r="A4" s="24">
        <v>1</v>
      </c>
      <c r="B4" s="16" t="s">
        <v>332</v>
      </c>
      <c r="C4" s="16" t="s">
        <v>89</v>
      </c>
      <c r="D4" s="26">
        <v>45327</v>
      </c>
      <c r="E4" s="16" t="s">
        <v>89</v>
      </c>
      <c r="F4" s="16" t="s">
        <v>89</v>
      </c>
      <c r="G4" s="24" t="s">
        <v>48</v>
      </c>
      <c r="H4" s="16" t="s">
        <v>393</v>
      </c>
      <c r="I4" s="24" t="s">
        <v>57</v>
      </c>
      <c r="J4" s="16" t="s">
        <v>394</v>
      </c>
      <c r="K4" s="16" t="s">
        <v>395</v>
      </c>
      <c r="L4" s="24" t="s">
        <v>74</v>
      </c>
      <c r="M4" s="17">
        <f>VLOOKUP(RiskRegister[[#This Row],[Inherent Impact Level]],'Rating factors'!$F$4:$G$9,2,FALSE)</f>
        <v>1</v>
      </c>
      <c r="N4" s="24" t="s">
        <v>63</v>
      </c>
      <c r="O4" s="17">
        <f>VLOOKUP(RiskRegister[[#This Row],[Inherent Likelihood Level]],'Rating factors'!$F$16:$G$21,2,FALSE)</f>
        <v>5</v>
      </c>
      <c r="P4" s="25" t="str">
        <f>IFERROR(VLOOKUP(RiskRegister[[#This Row],[Inherent Risk Rating]],'Rating factors'!$F$30:$G$44,2,FALSE),"-- Error --")</f>
        <v>Medium</v>
      </c>
      <c r="Q4" s="17">
        <f>IFERROR(RiskRegister[[#This Row],[Inherent Impact Rating]]*RiskRegister[[#This Row],[Inherent Likelihood Rating]],"-- Error --")</f>
        <v>5</v>
      </c>
      <c r="R4" s="24" t="s">
        <v>16</v>
      </c>
      <c r="S4" s="16" t="s">
        <v>396</v>
      </c>
      <c r="T4" s="24" t="s">
        <v>74</v>
      </c>
      <c r="U4" s="17">
        <f>VLOOKUP(RiskRegister[[#This Row],[Residual Impact Level]],'Rating factors'!$F$4:$G$9,2,FALSE)</f>
        <v>1</v>
      </c>
      <c r="V4" s="24" t="s">
        <v>63</v>
      </c>
      <c r="W4" s="17">
        <f>VLOOKUP(RiskRegister[[#This Row],[Residual Likelihood Level]],'Rating factors'!$F$16:$G$21,2,FALSE)</f>
        <v>5</v>
      </c>
      <c r="X4" s="25" t="str">
        <f>IFERROR(VLOOKUP(RiskRegister[[#This Row],[Residual Risk Rating]],'Rating factors'!$F$30:$G$44,2,FALSE),"-- Error --")</f>
        <v>Medium</v>
      </c>
      <c r="Y4" s="17">
        <f>IFERROR(RiskRegister[[#This Row],[Residual Impact Rating]]*RiskRegister[[#This Row],[Residual Likelihood Rating]],"-- Error --")</f>
        <v>5</v>
      </c>
      <c r="Z4" s="24" t="s">
        <v>18</v>
      </c>
      <c r="AA4" s="16" t="s">
        <v>397</v>
      </c>
      <c r="AB4" s="56"/>
      <c r="AD4" s="20" t="str">
        <f ca="1">IF(ISBLANK(RiskRegister[[#This Row],[Risk Due Date]]), "Missing Risk Due Date", IF(RiskRegister[[#This Row],[Risk Due Date]] &lt; TODAY(), "Overdue", "Not Overdue"))</f>
        <v>Missing Risk Due Date</v>
      </c>
      <c r="AE4" s="177">
        <v>45473</v>
      </c>
      <c r="AF4" s="20" t="str">
        <f>IF(ISBLANK(RiskRegister[[#This Row],[Risk Due Date]]), "Missing Risk Due Date", TEXT(RiskRegister[[#This Row],[Risk Due Date]], "YYYY-MM"))</f>
        <v>Missing Risk Due Date</v>
      </c>
      <c r="AG4" s="20" t="str">
        <f>IF(RiskRegister[[#This Row],[Created Date]]="","Created Date missing",(TEXT(RiskRegister[[#This Row],[Created Date]],"mmm") &amp; "-" &amp; YEAR(RiskRegister[[#This Row],[Created Date]])))</f>
        <v>Feb-2024</v>
      </c>
      <c r="AH4" s="74">
        <f>IF(RiskRegister[[#This Row],[Risk Status]]="Closed",RiskRegister[[#This Row],[Risk Close Date]],RiskRegister[[#This Row],[Risk Due Date]])</f>
        <v>0</v>
      </c>
      <c r="AI4" s="74">
        <f>IF(RiskRegister[[#This Row],[Risk-Change-Date]]=0,DATE(2030,1,1),RiskRegister[[#This Row],[Risk-Change-Date]])</f>
        <v>47484</v>
      </c>
      <c r="AJ4" s="20" t="str">
        <f>RiskRegister[[#This Row],[Inherent Impact Level]]&amp;"-"&amp;RiskRegister[[#This Row],[Inherent Likelihood Level]]</f>
        <v>Very Low-Highly Likely</v>
      </c>
      <c r="AK4" s="20" t="str">
        <f>RiskRegister[[#This Row],[Residual Impact Level]]&amp;"-"&amp;RiskRegister[[#This Row],[Residual Likelihood Level]]</f>
        <v>Very Low-Highly Likely</v>
      </c>
      <c r="AL4" s="20" t="str">
        <f t="shared" ref="AL4:AL24" si="0">IF(OR(R4="-- Select Risk Response --", Z4="-- Select Risk Status --"), "Error", IF(AND(Z4="Closed", R4="Mitigate"), "Yes", "No"))</f>
        <v>No</v>
      </c>
      <c r="AM4" s="20" t="str">
        <f>IF(RiskRegister[[#This Row],[Risk Status]]="Closed",RiskRegister[[#This Row],[Residual Impact Level]],RiskRegister[[#This Row],[Inherent Impact Level]])</f>
        <v>Very Low</v>
      </c>
      <c r="AN4" s="20" t="str">
        <f>IF(RiskRegister[[#This Row],[Risk Status]]="Closed",RiskRegister[[#This Row],[Residual Likelihood Level]],RiskRegister[[#This Row],[Inherent Likelihood Level]])</f>
        <v>Highly Likely</v>
      </c>
      <c r="AO4" s="20" t="str">
        <f>IF(RiskRegister[[#This Row],[Risk Status]]="Closed",RiskRegister[[#This Row],[Residual-I-L-Combo]],RiskRegister[[#This Row],[Inherent-I-L-Combo]])</f>
        <v>Very Low-Highly Likely</v>
      </c>
      <c r="AP4" s="20" t="str">
        <f t="shared" ref="AP4:AP24" si="1">IF(Z4="Closed", X4, P4)</f>
        <v>Medium</v>
      </c>
    </row>
    <row r="5" spans="1:42" s="16" customFormat="1" ht="30" x14ac:dyDescent="0.25">
      <c r="A5" s="24">
        <v>2</v>
      </c>
      <c r="B5" s="16" t="s">
        <v>333</v>
      </c>
      <c r="C5" s="16" t="s">
        <v>90</v>
      </c>
      <c r="D5" s="26">
        <v>45414</v>
      </c>
      <c r="E5" s="16" t="s">
        <v>90</v>
      </c>
      <c r="F5" s="16" t="s">
        <v>90</v>
      </c>
      <c r="G5" s="24" t="s">
        <v>47</v>
      </c>
      <c r="H5" s="16" t="s">
        <v>398</v>
      </c>
      <c r="I5" s="24" t="s">
        <v>57</v>
      </c>
      <c r="J5" s="16" t="s">
        <v>399</v>
      </c>
      <c r="K5" s="16" t="s">
        <v>400</v>
      </c>
      <c r="L5" s="24" t="s">
        <v>14</v>
      </c>
      <c r="M5" s="17">
        <f>VLOOKUP(RiskRegister[[#This Row],[Inherent Impact Level]],'Rating factors'!$F$4:$G$9,2,FALSE)</f>
        <v>2</v>
      </c>
      <c r="N5" s="24" t="s">
        <v>9</v>
      </c>
      <c r="O5" s="17">
        <f>VLOOKUP(RiskRegister[[#This Row],[Inherent Likelihood Level]],'Rating factors'!$F$16:$G$21,2,FALSE)</f>
        <v>4</v>
      </c>
      <c r="P5" s="25" t="str">
        <f>IFERROR(VLOOKUP(RiskRegister[[#This Row],[Inherent Risk Rating]],'Rating factors'!$F$30:$G$44,2,FALSE),"-- Error --")</f>
        <v>Medium</v>
      </c>
      <c r="Q5" s="17">
        <f>IFERROR(RiskRegister[[#This Row],[Inherent Impact Rating]]*RiskRegister[[#This Row],[Inherent Likelihood Rating]],"-- Error --")</f>
        <v>8</v>
      </c>
      <c r="R5" s="24" t="s">
        <v>16</v>
      </c>
      <c r="S5" s="16" t="s">
        <v>401</v>
      </c>
      <c r="T5" s="24" t="s">
        <v>14</v>
      </c>
      <c r="U5" s="17">
        <f>VLOOKUP(RiskRegister[[#This Row],[Residual Impact Level]],'Rating factors'!$F$4:$G$9,2,FALSE)</f>
        <v>2</v>
      </c>
      <c r="V5" s="24" t="s">
        <v>9</v>
      </c>
      <c r="W5" s="17">
        <f>VLOOKUP(RiskRegister[[#This Row],[Residual Likelihood Level]],'Rating factors'!$F$16:$G$21,2,FALSE)</f>
        <v>4</v>
      </c>
      <c r="X5" s="25" t="str">
        <f>IFERROR(VLOOKUP(RiskRegister[[#This Row],[Residual Risk Rating]],'Rating factors'!$F$30:$G$44,2,FALSE),"-- Error --")</f>
        <v>Medium</v>
      </c>
      <c r="Y5" s="17">
        <f>IFERROR(RiskRegister[[#This Row],[Residual Impact Rating]]*RiskRegister[[#This Row],[Residual Likelihood Rating]],"-- Error --")</f>
        <v>8</v>
      </c>
      <c r="Z5" s="24" t="s">
        <v>19</v>
      </c>
      <c r="AA5" s="16" t="s">
        <v>402</v>
      </c>
      <c r="AB5" s="56"/>
      <c r="AC5" s="177">
        <v>45488</v>
      </c>
      <c r="AD5" s="20" t="str">
        <f ca="1">IF(ISBLANK(RiskRegister[[#This Row],[Risk Due Date]]), "Missing Risk Due Date", IF(RiskRegister[[#This Row],[Risk Due Date]] &lt; TODAY(), "Overdue", "Not Overdue"))</f>
        <v>Missing Risk Due Date</v>
      </c>
      <c r="AE5" s="177">
        <v>45473</v>
      </c>
      <c r="AF5" s="20" t="str">
        <f>IF(ISBLANK(RiskRegister[[#This Row],[Risk Due Date]]), "Missing Risk Due Date", TEXT(RiskRegister[[#This Row],[Risk Due Date]], "YYYY-MM"))</f>
        <v>Missing Risk Due Date</v>
      </c>
      <c r="AG5" s="20" t="str">
        <f>IF(RiskRegister[[#This Row],[Created Date]]="","Created Date missing",(TEXT(RiskRegister[[#This Row],[Created Date]],"mmm") &amp; "-" &amp; YEAR(RiskRegister[[#This Row],[Created Date]])))</f>
        <v>May-2024</v>
      </c>
      <c r="AH5" s="74">
        <f>IF(RiskRegister[[#This Row],[Risk Status]]="Closed",RiskRegister[[#This Row],[Risk Close Date]],RiskRegister[[#This Row],[Risk Due Date]])</f>
        <v>45488</v>
      </c>
      <c r="AI5" s="74">
        <f>IF(RiskRegister[[#This Row],[Risk-Change-Date]]=0,DATE(2030,1,1),RiskRegister[[#This Row],[Risk-Change-Date]])</f>
        <v>45488</v>
      </c>
      <c r="AJ5" s="20" t="str">
        <f>RiskRegister[[#This Row],[Inherent Impact Level]]&amp;"-"&amp;RiskRegister[[#This Row],[Inherent Likelihood Level]]</f>
        <v>Low-Likely</v>
      </c>
      <c r="AK5" s="20" t="str">
        <f>RiskRegister[[#This Row],[Residual Impact Level]]&amp;"-"&amp;RiskRegister[[#This Row],[Residual Likelihood Level]]</f>
        <v>Low-Likely</v>
      </c>
      <c r="AL5" s="20" t="str">
        <f t="shared" si="0"/>
        <v>No</v>
      </c>
      <c r="AM5" s="20" t="str">
        <f>IF(RiskRegister[[#This Row],[Risk Status]]="Closed",RiskRegister[[#This Row],[Residual Impact Level]],RiskRegister[[#This Row],[Inherent Impact Level]])</f>
        <v>Low</v>
      </c>
      <c r="AN5" s="20" t="str">
        <f>IF(RiskRegister[[#This Row],[Risk Status]]="Closed",RiskRegister[[#This Row],[Residual Likelihood Level]],RiskRegister[[#This Row],[Inherent Likelihood Level]])</f>
        <v>Likely</v>
      </c>
      <c r="AO5" s="20" t="str">
        <f>IF(RiskRegister[[#This Row],[Risk Status]]="Closed",RiskRegister[[#This Row],[Residual-I-L-Combo]],RiskRegister[[#This Row],[Inherent-I-L-Combo]])</f>
        <v>Low-Likely</v>
      </c>
      <c r="AP5" s="20" t="str">
        <f t="shared" si="1"/>
        <v>Medium</v>
      </c>
    </row>
    <row r="6" spans="1:42" s="16" customFormat="1" ht="30" x14ac:dyDescent="0.25">
      <c r="A6" s="24">
        <v>3</v>
      </c>
      <c r="B6" s="16" t="s">
        <v>334</v>
      </c>
      <c r="C6" s="16" t="s">
        <v>91</v>
      </c>
      <c r="D6" s="26">
        <v>45385</v>
      </c>
      <c r="E6" s="16" t="s">
        <v>91</v>
      </c>
      <c r="F6" s="16" t="s">
        <v>91</v>
      </c>
      <c r="G6" s="24" t="s">
        <v>44</v>
      </c>
      <c r="H6" s="16" t="s">
        <v>403</v>
      </c>
      <c r="I6" s="24" t="s">
        <v>57</v>
      </c>
      <c r="J6" s="16" t="s">
        <v>394</v>
      </c>
      <c r="K6" s="16" t="s">
        <v>404</v>
      </c>
      <c r="L6" s="24" t="s">
        <v>8</v>
      </c>
      <c r="M6" s="17">
        <f>VLOOKUP(RiskRegister[[#This Row],[Inherent Impact Level]],'Rating factors'!$F$4:$G$9,2,FALSE)</f>
        <v>3</v>
      </c>
      <c r="N6" s="24" t="s">
        <v>63</v>
      </c>
      <c r="O6" s="17">
        <f>VLOOKUP(RiskRegister[[#This Row],[Inherent Likelihood Level]],'Rating factors'!$F$16:$G$21,2,FALSE)</f>
        <v>5</v>
      </c>
      <c r="P6" s="25" t="str">
        <f>IFERROR(VLOOKUP(RiskRegister[[#This Row],[Inherent Risk Rating]],'Rating factors'!$F$30:$G$44,2,FALSE),"-- Error --")</f>
        <v>Medium</v>
      </c>
      <c r="Q6" s="17">
        <f>IFERROR(RiskRegister[[#This Row],[Inherent Impact Rating]]*RiskRegister[[#This Row],[Inherent Likelihood Rating]],"-- Error --")</f>
        <v>15</v>
      </c>
      <c r="R6" s="24" t="s">
        <v>23</v>
      </c>
      <c r="S6" s="16" t="s">
        <v>405</v>
      </c>
      <c r="T6" s="24" t="s">
        <v>74</v>
      </c>
      <c r="U6" s="17">
        <f>VLOOKUP(RiskRegister[[#This Row],[Residual Impact Level]],'Rating factors'!$F$4:$G$9,2,FALSE)</f>
        <v>1</v>
      </c>
      <c r="V6" s="24" t="s">
        <v>9</v>
      </c>
      <c r="W6" s="17">
        <f>VLOOKUP(RiskRegister[[#This Row],[Residual Likelihood Level]],'Rating factors'!$F$16:$G$21,2,FALSE)</f>
        <v>4</v>
      </c>
      <c r="X6" s="25" t="str">
        <f>IFERROR(VLOOKUP(RiskRegister[[#This Row],[Residual Risk Rating]],'Rating factors'!$F$30:$G$44,2,FALSE),"-- Error --")</f>
        <v>Low</v>
      </c>
      <c r="Y6" s="17">
        <f>IFERROR(RiskRegister[[#This Row],[Residual Impact Rating]]*RiskRegister[[#This Row],[Residual Likelihood Rating]],"-- Error --")</f>
        <v>4</v>
      </c>
      <c r="Z6" s="24" t="s">
        <v>115</v>
      </c>
      <c r="AA6" s="16" t="s">
        <v>406</v>
      </c>
      <c r="AB6" s="56">
        <v>45420</v>
      </c>
      <c r="AD6" s="20" t="str">
        <f ca="1">IF(ISBLANK(RiskRegister[[#This Row],[Risk Due Date]]), "Missing Risk Due Date", IF(RiskRegister[[#This Row],[Risk Due Date]] &lt; TODAY(), "Overdue", "Not Overdue"))</f>
        <v>Overdue</v>
      </c>
      <c r="AE6" s="177">
        <v>45473</v>
      </c>
      <c r="AF6" s="20" t="str">
        <f>IF(ISBLANK(RiskRegister[[#This Row],[Risk Due Date]]), "Missing Risk Due Date", TEXT(RiskRegister[[#This Row],[Risk Due Date]], "YYYY-MM"))</f>
        <v>2024-05</v>
      </c>
      <c r="AG6" s="20" t="str">
        <f>IF(RiskRegister[[#This Row],[Created Date]]="","Created Date missing",(TEXT(RiskRegister[[#This Row],[Created Date]],"mmm") &amp; "-" &amp; YEAR(RiskRegister[[#This Row],[Created Date]])))</f>
        <v>Apr-2024</v>
      </c>
      <c r="AH6" s="74">
        <f>IF(RiskRegister[[#This Row],[Risk Status]]="Closed",RiskRegister[[#This Row],[Risk Close Date]],RiskRegister[[#This Row],[Risk Due Date]])</f>
        <v>45420</v>
      </c>
      <c r="AI6" s="74">
        <f>IF(RiskRegister[[#This Row],[Risk-Change-Date]]=0,DATE(2030,1,1),RiskRegister[[#This Row],[Risk-Change-Date]])</f>
        <v>45420</v>
      </c>
      <c r="AJ6" s="20" t="str">
        <f>RiskRegister[[#This Row],[Inherent Impact Level]]&amp;"-"&amp;RiskRegister[[#This Row],[Inherent Likelihood Level]]</f>
        <v>Moderate-Highly Likely</v>
      </c>
      <c r="AK6" s="20" t="str">
        <f>RiskRegister[[#This Row],[Residual Impact Level]]&amp;"-"&amp;RiskRegister[[#This Row],[Residual Likelihood Level]]</f>
        <v>Very Low-Likely</v>
      </c>
      <c r="AL6" s="20" t="str">
        <f t="shared" si="0"/>
        <v>No</v>
      </c>
      <c r="AM6" s="20" t="str">
        <f>IF(RiskRegister[[#This Row],[Risk Status]]="Closed",RiskRegister[[#This Row],[Residual Impact Level]],RiskRegister[[#This Row],[Inherent Impact Level]])</f>
        <v>Moderate</v>
      </c>
      <c r="AN6" s="20" t="str">
        <f>IF(RiskRegister[[#This Row],[Risk Status]]="Closed",RiskRegister[[#This Row],[Residual Likelihood Level]],RiskRegister[[#This Row],[Inherent Likelihood Level]])</f>
        <v>Highly Likely</v>
      </c>
      <c r="AO6" s="20" t="str">
        <f>IF(RiskRegister[[#This Row],[Risk Status]]="Closed",RiskRegister[[#This Row],[Residual-I-L-Combo]],RiskRegister[[#This Row],[Inherent-I-L-Combo]])</f>
        <v>Moderate-Highly Likely</v>
      </c>
      <c r="AP6" s="20" t="str">
        <f t="shared" si="1"/>
        <v>Medium</v>
      </c>
    </row>
    <row r="7" spans="1:42" s="16" customFormat="1" ht="30" x14ac:dyDescent="0.25">
      <c r="A7" s="24">
        <v>4</v>
      </c>
      <c r="B7" s="16" t="s">
        <v>335</v>
      </c>
      <c r="C7" s="16" t="s">
        <v>92</v>
      </c>
      <c r="D7" s="26">
        <v>45386</v>
      </c>
      <c r="E7" s="16" t="s">
        <v>92</v>
      </c>
      <c r="F7" s="16" t="s">
        <v>92</v>
      </c>
      <c r="G7" s="24" t="s">
        <v>46</v>
      </c>
      <c r="H7" s="16" t="s">
        <v>407</v>
      </c>
      <c r="I7" s="24" t="s">
        <v>58</v>
      </c>
      <c r="J7" s="16" t="s">
        <v>408</v>
      </c>
      <c r="K7" s="16" t="s">
        <v>409</v>
      </c>
      <c r="L7" s="24" t="s">
        <v>12</v>
      </c>
      <c r="M7" s="17">
        <f>VLOOKUP(RiskRegister[[#This Row],[Inherent Impact Level]],'Rating factors'!$F$4:$G$9,2,FALSE)</f>
        <v>4</v>
      </c>
      <c r="N7" s="24" t="s">
        <v>9</v>
      </c>
      <c r="O7" s="17">
        <f>VLOOKUP(RiskRegister[[#This Row],[Inherent Likelihood Level]],'Rating factors'!$F$16:$G$21,2,FALSE)</f>
        <v>4</v>
      </c>
      <c r="P7" s="25" t="str">
        <f>IFERROR(VLOOKUP(RiskRegister[[#This Row],[Inherent Risk Rating]],'Rating factors'!$F$30:$G$44,2,FALSE),"-- Error --")</f>
        <v>Medium</v>
      </c>
      <c r="Q7" s="17">
        <f>IFERROR(RiskRegister[[#This Row],[Inherent Impact Rating]]*RiskRegister[[#This Row],[Inherent Likelihood Rating]],"-- Error --")</f>
        <v>16</v>
      </c>
      <c r="R7" s="24" t="s">
        <v>23</v>
      </c>
      <c r="S7" s="16" t="s">
        <v>410</v>
      </c>
      <c r="T7" s="24" t="s">
        <v>74</v>
      </c>
      <c r="U7" s="17">
        <f>VLOOKUP(RiskRegister[[#This Row],[Residual Impact Level]],'Rating factors'!$F$4:$G$9,2,FALSE)</f>
        <v>1</v>
      </c>
      <c r="V7" s="24" t="s">
        <v>10</v>
      </c>
      <c r="W7" s="17">
        <f>VLOOKUP(RiskRegister[[#This Row],[Residual Likelihood Level]],'Rating factors'!$F$16:$G$21,2,FALSE)</f>
        <v>2</v>
      </c>
      <c r="X7" s="25" t="str">
        <f>IFERROR(VLOOKUP(RiskRegister[[#This Row],[Residual Risk Rating]],'Rating factors'!$F$30:$G$44,2,FALSE),"-- Error --")</f>
        <v>Low</v>
      </c>
      <c r="Y7" s="17">
        <f>IFERROR(RiskRegister[[#This Row],[Residual Impact Rating]]*RiskRegister[[#This Row],[Residual Likelihood Rating]],"-- Error --")</f>
        <v>2</v>
      </c>
      <c r="Z7" s="24" t="s">
        <v>18</v>
      </c>
      <c r="AA7" s="16" t="s">
        <v>411</v>
      </c>
      <c r="AB7" s="56"/>
      <c r="AD7" s="20" t="str">
        <f ca="1">IF(ISBLANK(RiskRegister[[#This Row],[Risk Due Date]]), "Missing Risk Due Date", IF(RiskRegister[[#This Row],[Risk Due Date]] &lt; TODAY(), "Overdue", "Not Overdue"))</f>
        <v>Missing Risk Due Date</v>
      </c>
      <c r="AE7" s="177">
        <v>45565</v>
      </c>
      <c r="AF7" s="20" t="str">
        <f>IF(ISBLANK(RiskRegister[[#This Row],[Risk Due Date]]), "Missing Risk Due Date", TEXT(RiskRegister[[#This Row],[Risk Due Date]], "YYYY-MM"))</f>
        <v>Missing Risk Due Date</v>
      </c>
      <c r="AG7" s="20" t="str">
        <f>IF(RiskRegister[[#This Row],[Created Date]]="","Created Date missing",(TEXT(RiskRegister[[#This Row],[Created Date]],"mmm") &amp; "-" &amp; YEAR(RiskRegister[[#This Row],[Created Date]])))</f>
        <v>Apr-2024</v>
      </c>
      <c r="AH7" s="74">
        <f>IF(RiskRegister[[#This Row],[Risk Status]]="Closed",RiskRegister[[#This Row],[Risk Close Date]],RiskRegister[[#This Row],[Risk Due Date]])</f>
        <v>0</v>
      </c>
      <c r="AI7" s="74">
        <f>IF(RiskRegister[[#This Row],[Risk-Change-Date]]=0,DATE(2030,1,1),RiskRegister[[#This Row],[Risk-Change-Date]])</f>
        <v>47484</v>
      </c>
      <c r="AJ7" s="20" t="str">
        <f>RiskRegister[[#This Row],[Inherent Impact Level]]&amp;"-"&amp;RiskRegister[[#This Row],[Inherent Likelihood Level]]</f>
        <v>High-Likely</v>
      </c>
      <c r="AK7" s="20" t="str">
        <f>RiskRegister[[#This Row],[Residual Impact Level]]&amp;"-"&amp;RiskRegister[[#This Row],[Residual Likelihood Level]]</f>
        <v>Very Low-Unlikely</v>
      </c>
      <c r="AL7" s="20" t="str">
        <f t="shared" si="0"/>
        <v>No</v>
      </c>
      <c r="AM7" s="20" t="str">
        <f>IF(RiskRegister[[#This Row],[Risk Status]]="Closed",RiskRegister[[#This Row],[Residual Impact Level]],RiskRegister[[#This Row],[Inherent Impact Level]])</f>
        <v>High</v>
      </c>
      <c r="AN7" s="20" t="str">
        <f>IF(RiskRegister[[#This Row],[Risk Status]]="Closed",RiskRegister[[#This Row],[Residual Likelihood Level]],RiskRegister[[#This Row],[Inherent Likelihood Level]])</f>
        <v>Likely</v>
      </c>
      <c r="AO7" s="20" t="str">
        <f>IF(RiskRegister[[#This Row],[Risk Status]]="Closed",RiskRegister[[#This Row],[Residual-I-L-Combo]],RiskRegister[[#This Row],[Inherent-I-L-Combo]])</f>
        <v>High-Likely</v>
      </c>
      <c r="AP7" s="20" t="str">
        <f t="shared" si="1"/>
        <v>Medium</v>
      </c>
    </row>
    <row r="8" spans="1:42" s="16" customFormat="1" ht="30" x14ac:dyDescent="0.25">
      <c r="A8" s="24">
        <v>5</v>
      </c>
      <c r="B8" s="16" t="s">
        <v>346</v>
      </c>
      <c r="C8" s="16" t="s">
        <v>93</v>
      </c>
      <c r="D8" s="26">
        <v>45387</v>
      </c>
      <c r="E8" s="16" t="s">
        <v>93</v>
      </c>
      <c r="F8" s="16" t="s">
        <v>93</v>
      </c>
      <c r="G8" s="24" t="s">
        <v>49</v>
      </c>
      <c r="H8" s="16" t="s">
        <v>412</v>
      </c>
      <c r="I8" s="24" t="s">
        <v>57</v>
      </c>
      <c r="J8" s="16" t="s">
        <v>413</v>
      </c>
      <c r="K8" s="16" t="s">
        <v>414</v>
      </c>
      <c r="L8" s="24" t="s">
        <v>75</v>
      </c>
      <c r="M8" s="17">
        <f>VLOOKUP(RiskRegister[[#This Row],[Inherent Impact Level]],'Rating factors'!$F$4:$G$9,2,FALSE)</f>
        <v>5</v>
      </c>
      <c r="N8" s="24" t="s">
        <v>63</v>
      </c>
      <c r="O8" s="17">
        <f>VLOOKUP(RiskRegister[[#This Row],[Inherent Likelihood Level]],'Rating factors'!$F$16:$G$21,2,FALSE)</f>
        <v>5</v>
      </c>
      <c r="P8" s="25" t="str">
        <f>IFERROR(VLOOKUP(RiskRegister[[#This Row],[Inherent Risk Rating]],'Rating factors'!$F$30:$G$44,2,FALSE),"-- Error --")</f>
        <v>High</v>
      </c>
      <c r="Q8" s="17">
        <f>IFERROR(RiskRegister[[#This Row],[Inherent Impact Rating]]*RiskRegister[[#This Row],[Inherent Likelihood Rating]],"-- Error --")</f>
        <v>25</v>
      </c>
      <c r="R8" s="24" t="s">
        <v>23</v>
      </c>
      <c r="S8" s="16" t="s">
        <v>415</v>
      </c>
      <c r="T8" s="24" t="s">
        <v>14</v>
      </c>
      <c r="U8" s="17">
        <f>VLOOKUP(RiskRegister[[#This Row],[Residual Impact Level]],'Rating factors'!$F$4:$G$9,2,FALSE)</f>
        <v>2</v>
      </c>
      <c r="V8" s="24" t="s">
        <v>9</v>
      </c>
      <c r="W8" s="17">
        <f>VLOOKUP(RiskRegister[[#This Row],[Residual Likelihood Level]],'Rating factors'!$F$16:$G$21,2,FALSE)</f>
        <v>4</v>
      </c>
      <c r="X8" s="25" t="str">
        <f>IFERROR(VLOOKUP(RiskRegister[[#This Row],[Residual Risk Rating]],'Rating factors'!$F$30:$G$44,2,FALSE),"-- Error --")</f>
        <v>Medium</v>
      </c>
      <c r="Y8" s="17">
        <f>IFERROR(RiskRegister[[#This Row],[Residual Impact Rating]]*RiskRegister[[#This Row],[Residual Likelihood Rating]],"-- Error --")</f>
        <v>8</v>
      </c>
      <c r="Z8" s="24" t="s">
        <v>115</v>
      </c>
      <c r="AA8" s="16" t="s">
        <v>416</v>
      </c>
      <c r="AB8" s="56">
        <v>45328</v>
      </c>
      <c r="AD8" s="20" t="str">
        <f ca="1">IF(ISBLANK(RiskRegister[[#This Row],[Risk Due Date]]), "Missing Risk Due Date", IF(RiskRegister[[#This Row],[Risk Due Date]] &lt; TODAY(), "Overdue", "Not Overdue"))</f>
        <v>Overdue</v>
      </c>
      <c r="AE8" s="177">
        <v>45473</v>
      </c>
      <c r="AF8" s="20" t="str">
        <f>IF(ISBLANK(RiskRegister[[#This Row],[Risk Due Date]]), "Missing Risk Due Date", TEXT(RiskRegister[[#This Row],[Risk Due Date]], "YYYY-MM"))</f>
        <v>2024-02</v>
      </c>
      <c r="AG8" s="20" t="str">
        <f>IF(RiskRegister[[#This Row],[Created Date]]="","Created Date missing",(TEXT(RiskRegister[[#This Row],[Created Date]],"mmm") &amp; "-" &amp; YEAR(RiskRegister[[#This Row],[Created Date]])))</f>
        <v>Apr-2024</v>
      </c>
      <c r="AH8" s="74">
        <f>IF(RiskRegister[[#This Row],[Risk Status]]="Closed",RiskRegister[[#This Row],[Risk Close Date]],RiskRegister[[#This Row],[Risk Due Date]])</f>
        <v>45328</v>
      </c>
      <c r="AI8" s="74">
        <f>IF(RiskRegister[[#This Row],[Risk-Change-Date]]=0,DATE(2030,1,1),RiskRegister[[#This Row],[Risk-Change-Date]])</f>
        <v>45328</v>
      </c>
      <c r="AJ8" s="20" t="str">
        <f>RiskRegister[[#This Row],[Inherent Impact Level]]&amp;"-"&amp;RiskRegister[[#This Row],[Inherent Likelihood Level]]</f>
        <v>Very High-Highly Likely</v>
      </c>
      <c r="AK8" s="20" t="str">
        <f>RiskRegister[[#This Row],[Residual Impact Level]]&amp;"-"&amp;RiskRegister[[#This Row],[Residual Likelihood Level]]</f>
        <v>Low-Likely</v>
      </c>
      <c r="AL8" s="20" t="str">
        <f t="shared" si="0"/>
        <v>No</v>
      </c>
      <c r="AM8" s="20" t="str">
        <f>IF(RiskRegister[[#This Row],[Risk Status]]="Closed",RiskRegister[[#This Row],[Residual Impact Level]],RiskRegister[[#This Row],[Inherent Impact Level]])</f>
        <v>Very High</v>
      </c>
      <c r="AN8" s="20" t="str">
        <f>IF(RiskRegister[[#This Row],[Risk Status]]="Closed",RiskRegister[[#This Row],[Residual Likelihood Level]],RiskRegister[[#This Row],[Inherent Likelihood Level]])</f>
        <v>Highly Likely</v>
      </c>
      <c r="AO8" s="20" t="str">
        <f>IF(RiskRegister[[#This Row],[Risk Status]]="Closed",RiskRegister[[#This Row],[Residual-I-L-Combo]],RiskRegister[[#This Row],[Inherent-I-L-Combo]])</f>
        <v>Very High-Highly Likely</v>
      </c>
      <c r="AP8" s="20" t="str">
        <f t="shared" si="1"/>
        <v>High</v>
      </c>
    </row>
    <row r="9" spans="1:42" s="16" customFormat="1" ht="30" x14ac:dyDescent="0.25">
      <c r="A9" s="24">
        <v>6</v>
      </c>
      <c r="B9" s="16" t="s">
        <v>347</v>
      </c>
      <c r="C9" s="16" t="s">
        <v>94</v>
      </c>
      <c r="D9" s="26">
        <v>45388</v>
      </c>
      <c r="E9" s="16" t="s">
        <v>94</v>
      </c>
      <c r="F9" s="16" t="s">
        <v>94</v>
      </c>
      <c r="G9" s="24" t="s">
        <v>52</v>
      </c>
      <c r="H9" s="16" t="s">
        <v>417</v>
      </c>
      <c r="I9" s="24" t="s">
        <v>54</v>
      </c>
      <c r="J9" s="16" t="s">
        <v>394</v>
      </c>
      <c r="K9" s="16" t="s">
        <v>418</v>
      </c>
      <c r="L9" s="24" t="s">
        <v>74</v>
      </c>
      <c r="M9" s="17">
        <f>VLOOKUP(RiskRegister[[#This Row],[Inherent Impact Level]],'Rating factors'!$F$4:$G$9,2,FALSE)</f>
        <v>1</v>
      </c>
      <c r="N9" s="24" t="s">
        <v>9</v>
      </c>
      <c r="O9" s="17">
        <f>VLOOKUP(RiskRegister[[#This Row],[Inherent Likelihood Level]],'Rating factors'!$F$16:$G$21,2,FALSE)</f>
        <v>4</v>
      </c>
      <c r="P9" s="25" t="str">
        <f>IFERROR(VLOOKUP(RiskRegister[[#This Row],[Inherent Risk Rating]],'Rating factors'!$F$30:$G$44,2,FALSE),"-- Error --")</f>
        <v>Low</v>
      </c>
      <c r="Q9" s="17">
        <f>IFERROR(RiskRegister[[#This Row],[Inherent Impact Rating]]*RiskRegister[[#This Row],[Inherent Likelihood Rating]],"-- Error --")</f>
        <v>4</v>
      </c>
      <c r="R9" s="24" t="s">
        <v>23</v>
      </c>
      <c r="S9" s="16" t="s">
        <v>419</v>
      </c>
      <c r="T9" s="24" t="s">
        <v>74</v>
      </c>
      <c r="U9" s="17">
        <f>VLOOKUP(RiskRegister[[#This Row],[Residual Impact Level]],'Rating factors'!$F$4:$G$9,2,FALSE)</f>
        <v>1</v>
      </c>
      <c r="V9" s="24" t="s">
        <v>10</v>
      </c>
      <c r="W9" s="17">
        <f>VLOOKUP(RiskRegister[[#This Row],[Residual Likelihood Level]],'Rating factors'!$F$16:$G$21,2,FALSE)</f>
        <v>2</v>
      </c>
      <c r="X9" s="25" t="str">
        <f>IFERROR(VLOOKUP(RiskRegister[[#This Row],[Residual Risk Rating]],'Rating factors'!$F$30:$G$44,2,FALSE),"-- Error --")</f>
        <v>Low</v>
      </c>
      <c r="Y9" s="17">
        <f>IFERROR(RiskRegister[[#This Row],[Residual Impact Rating]]*RiskRegister[[#This Row],[Residual Likelihood Rating]],"-- Error --")</f>
        <v>2</v>
      </c>
      <c r="Z9" s="24" t="s">
        <v>115</v>
      </c>
      <c r="AA9" s="16" t="s">
        <v>420</v>
      </c>
      <c r="AB9" s="56">
        <v>45218</v>
      </c>
      <c r="AD9" s="20" t="str">
        <f ca="1">IF(ISBLANK(RiskRegister[[#This Row],[Risk Due Date]]), "Missing Risk Due Date", IF(RiskRegister[[#This Row],[Risk Due Date]] &lt; TODAY(), "Overdue", "Not Overdue"))</f>
        <v>Overdue</v>
      </c>
      <c r="AE9" s="177">
        <v>45473</v>
      </c>
      <c r="AF9" s="20" t="str">
        <f>IF(ISBLANK(RiskRegister[[#This Row],[Risk Due Date]]), "Missing Risk Due Date", TEXT(RiskRegister[[#This Row],[Risk Due Date]], "YYYY-MM"))</f>
        <v>2023-10</v>
      </c>
      <c r="AG9" s="20" t="str">
        <f>IF(RiskRegister[[#This Row],[Created Date]]="","Created Date missing",(TEXT(RiskRegister[[#This Row],[Created Date]],"mmm") &amp; "-" &amp; YEAR(RiskRegister[[#This Row],[Created Date]])))</f>
        <v>Apr-2024</v>
      </c>
      <c r="AH9" s="74">
        <f>IF(RiskRegister[[#This Row],[Risk Status]]="Closed",RiskRegister[[#This Row],[Risk Close Date]],RiskRegister[[#This Row],[Risk Due Date]])</f>
        <v>45218</v>
      </c>
      <c r="AI9" s="74">
        <f>IF(RiskRegister[[#This Row],[Risk-Change-Date]]=0,DATE(2030,1,1),RiskRegister[[#This Row],[Risk-Change-Date]])</f>
        <v>45218</v>
      </c>
      <c r="AJ9" s="20" t="str">
        <f>RiskRegister[[#This Row],[Inherent Impact Level]]&amp;"-"&amp;RiskRegister[[#This Row],[Inherent Likelihood Level]]</f>
        <v>Very Low-Likely</v>
      </c>
      <c r="AK9" s="20" t="str">
        <f>RiskRegister[[#This Row],[Residual Impact Level]]&amp;"-"&amp;RiskRegister[[#This Row],[Residual Likelihood Level]]</f>
        <v>Very Low-Unlikely</v>
      </c>
      <c r="AL9" s="20" t="str">
        <f t="shared" si="0"/>
        <v>No</v>
      </c>
      <c r="AM9" s="20" t="str">
        <f>IF(RiskRegister[[#This Row],[Risk Status]]="Closed",RiskRegister[[#This Row],[Residual Impact Level]],RiskRegister[[#This Row],[Inherent Impact Level]])</f>
        <v>Very Low</v>
      </c>
      <c r="AN9" s="20" t="str">
        <f>IF(RiskRegister[[#This Row],[Risk Status]]="Closed",RiskRegister[[#This Row],[Residual Likelihood Level]],RiskRegister[[#This Row],[Inherent Likelihood Level]])</f>
        <v>Likely</v>
      </c>
      <c r="AO9" s="20" t="str">
        <f>IF(RiskRegister[[#This Row],[Risk Status]]="Closed",RiskRegister[[#This Row],[Residual-I-L-Combo]],RiskRegister[[#This Row],[Inherent-I-L-Combo]])</f>
        <v>Very Low-Likely</v>
      </c>
      <c r="AP9" s="20" t="str">
        <f t="shared" si="1"/>
        <v>Low</v>
      </c>
    </row>
    <row r="10" spans="1:42" s="16" customFormat="1" ht="30" x14ac:dyDescent="0.25">
      <c r="A10" s="24">
        <v>7</v>
      </c>
      <c r="B10" s="16" t="s">
        <v>348</v>
      </c>
      <c r="C10" s="16" t="s">
        <v>95</v>
      </c>
      <c r="D10" s="26">
        <v>45389</v>
      </c>
      <c r="E10" s="16" t="s">
        <v>95</v>
      </c>
      <c r="F10" s="16" t="s">
        <v>95</v>
      </c>
      <c r="G10" s="24" t="s">
        <v>50</v>
      </c>
      <c r="H10" s="16" t="s">
        <v>421</v>
      </c>
      <c r="I10" s="24" t="s">
        <v>57</v>
      </c>
      <c r="J10" s="16" t="s">
        <v>422</v>
      </c>
      <c r="K10" s="16" t="s">
        <v>423</v>
      </c>
      <c r="L10" s="24" t="s">
        <v>75</v>
      </c>
      <c r="M10" s="17">
        <f>VLOOKUP(RiskRegister[[#This Row],[Inherent Impact Level]],'Rating factors'!$F$4:$G$9,2,FALSE)</f>
        <v>5</v>
      </c>
      <c r="N10" s="24" t="s">
        <v>11</v>
      </c>
      <c r="O10" s="17">
        <f>VLOOKUP(RiskRegister[[#This Row],[Inherent Likelihood Level]],'Rating factors'!$F$16:$G$21,2,FALSE)</f>
        <v>1</v>
      </c>
      <c r="P10" s="25" t="str">
        <f>IFERROR(VLOOKUP(RiskRegister[[#This Row],[Inherent Risk Rating]],'Rating factors'!$F$30:$G$44,2,FALSE),"-- Error --")</f>
        <v>Medium</v>
      </c>
      <c r="Q10" s="17">
        <f>IFERROR(RiskRegister[[#This Row],[Inherent Impact Rating]]*RiskRegister[[#This Row],[Inherent Likelihood Rating]],"-- Error --")</f>
        <v>5</v>
      </c>
      <c r="R10" s="24" t="s">
        <v>23</v>
      </c>
      <c r="S10" s="16" t="s">
        <v>424</v>
      </c>
      <c r="T10" s="24" t="s">
        <v>74</v>
      </c>
      <c r="U10" s="17">
        <f>VLOOKUP(RiskRegister[[#This Row],[Residual Impact Level]],'Rating factors'!$F$4:$G$9,2,FALSE)</f>
        <v>1</v>
      </c>
      <c r="V10" s="24" t="s">
        <v>11</v>
      </c>
      <c r="W10" s="17">
        <f>VLOOKUP(RiskRegister[[#This Row],[Residual Likelihood Level]],'Rating factors'!$F$16:$G$21,2,FALSE)</f>
        <v>1</v>
      </c>
      <c r="X10" s="25" t="str">
        <f>IFERROR(VLOOKUP(RiskRegister[[#This Row],[Residual Risk Rating]],'Rating factors'!$F$30:$G$44,2,FALSE),"-- Error --")</f>
        <v>Low</v>
      </c>
      <c r="Y10" s="17">
        <f>IFERROR(RiskRegister[[#This Row],[Residual Impact Rating]]*RiskRegister[[#This Row],[Residual Likelihood Rating]],"-- Error --")</f>
        <v>1</v>
      </c>
      <c r="Z10" s="24" t="s">
        <v>115</v>
      </c>
      <c r="AA10" s="16" t="s">
        <v>425</v>
      </c>
      <c r="AB10" s="56">
        <v>45180</v>
      </c>
      <c r="AD10" s="20" t="str">
        <f ca="1">IF(ISBLANK(RiskRegister[[#This Row],[Risk Due Date]]), "Missing Risk Due Date", IF(RiskRegister[[#This Row],[Risk Due Date]] &lt; TODAY(), "Overdue", "Not Overdue"))</f>
        <v>Overdue</v>
      </c>
      <c r="AE10" s="177">
        <v>45473</v>
      </c>
      <c r="AF10" s="20" t="str">
        <f>IF(ISBLANK(RiskRegister[[#This Row],[Risk Due Date]]), "Missing Risk Due Date", TEXT(RiskRegister[[#This Row],[Risk Due Date]], "YYYY-MM"))</f>
        <v>2023-09</v>
      </c>
      <c r="AG10" s="20" t="str">
        <f>IF(RiskRegister[[#This Row],[Created Date]]="","Created Date missing",(TEXT(RiskRegister[[#This Row],[Created Date]],"mmm") &amp; "-" &amp; YEAR(RiskRegister[[#This Row],[Created Date]])))</f>
        <v>Apr-2024</v>
      </c>
      <c r="AH10" s="74">
        <f>IF(RiskRegister[[#This Row],[Risk Status]]="Closed",RiskRegister[[#This Row],[Risk Close Date]],RiskRegister[[#This Row],[Risk Due Date]])</f>
        <v>45180</v>
      </c>
      <c r="AI10" s="74">
        <f>IF(RiskRegister[[#This Row],[Risk-Change-Date]]=0,DATE(2030,1,1),RiskRegister[[#This Row],[Risk-Change-Date]])</f>
        <v>45180</v>
      </c>
      <c r="AJ10" s="20" t="str">
        <f>RiskRegister[[#This Row],[Inherent Impact Level]]&amp;"-"&amp;RiskRegister[[#This Row],[Inherent Likelihood Level]]</f>
        <v>Very High-Rare</v>
      </c>
      <c r="AK10" s="20" t="str">
        <f>RiskRegister[[#This Row],[Residual Impact Level]]&amp;"-"&amp;RiskRegister[[#This Row],[Residual Likelihood Level]]</f>
        <v>Very Low-Rare</v>
      </c>
      <c r="AL10" s="20" t="str">
        <f t="shared" si="0"/>
        <v>No</v>
      </c>
      <c r="AM10" s="20" t="str">
        <f>IF(RiskRegister[[#This Row],[Risk Status]]="Closed",RiskRegister[[#This Row],[Residual Impact Level]],RiskRegister[[#This Row],[Inherent Impact Level]])</f>
        <v>Very High</v>
      </c>
      <c r="AN10" s="20" t="str">
        <f>IF(RiskRegister[[#This Row],[Risk Status]]="Closed",RiskRegister[[#This Row],[Residual Likelihood Level]],RiskRegister[[#This Row],[Inherent Likelihood Level]])</f>
        <v>Rare</v>
      </c>
      <c r="AO10" s="20" t="str">
        <f>IF(RiskRegister[[#This Row],[Risk Status]]="Closed",RiskRegister[[#This Row],[Residual-I-L-Combo]],RiskRegister[[#This Row],[Inherent-I-L-Combo]])</f>
        <v>Very High-Rare</v>
      </c>
      <c r="AP10" s="20" t="str">
        <f t="shared" si="1"/>
        <v>Medium</v>
      </c>
    </row>
    <row r="11" spans="1:42" s="16" customFormat="1" ht="30" x14ac:dyDescent="0.25">
      <c r="A11" s="24">
        <v>8</v>
      </c>
      <c r="B11" s="16" t="s">
        <v>349</v>
      </c>
      <c r="C11" s="16" t="s">
        <v>96</v>
      </c>
      <c r="D11" s="26">
        <v>45390</v>
      </c>
      <c r="E11" s="16" t="s">
        <v>96</v>
      </c>
      <c r="F11" s="16" t="s">
        <v>96</v>
      </c>
      <c r="G11" s="24" t="s">
        <v>51</v>
      </c>
      <c r="H11" s="16" t="s">
        <v>426</v>
      </c>
      <c r="I11" s="24" t="s">
        <v>502</v>
      </c>
      <c r="J11" s="16" t="s">
        <v>427</v>
      </c>
      <c r="K11" s="16" t="s">
        <v>428</v>
      </c>
      <c r="L11" s="24" t="s">
        <v>14</v>
      </c>
      <c r="M11" s="17">
        <f>VLOOKUP(RiskRegister[[#This Row],[Inherent Impact Level]],'Rating factors'!$F$4:$G$9,2,FALSE)</f>
        <v>2</v>
      </c>
      <c r="N11" s="24" t="s">
        <v>10</v>
      </c>
      <c r="O11" s="17">
        <f>VLOOKUP(RiskRegister[[#This Row],[Inherent Likelihood Level]],'Rating factors'!$F$16:$G$21,2,FALSE)</f>
        <v>2</v>
      </c>
      <c r="P11" s="25" t="str">
        <f>IFERROR(VLOOKUP(RiskRegister[[#This Row],[Inherent Risk Rating]],'Rating factors'!$F$30:$G$44,2,FALSE),"-- Error --")</f>
        <v>Low</v>
      </c>
      <c r="Q11" s="17">
        <f>IFERROR(RiskRegister[[#This Row],[Inherent Impact Rating]]*RiskRegister[[#This Row],[Inherent Likelihood Rating]],"-- Error --")</f>
        <v>4</v>
      </c>
      <c r="R11" s="24" t="s">
        <v>23</v>
      </c>
      <c r="S11" s="16" t="s">
        <v>429</v>
      </c>
      <c r="T11" s="24" t="s">
        <v>14</v>
      </c>
      <c r="U11" s="17">
        <f>VLOOKUP(RiskRegister[[#This Row],[Residual Impact Level]],'Rating factors'!$F$4:$G$9,2,FALSE)</f>
        <v>2</v>
      </c>
      <c r="V11" s="24" t="s">
        <v>10</v>
      </c>
      <c r="W11" s="17">
        <f>VLOOKUP(RiskRegister[[#This Row],[Residual Likelihood Level]],'Rating factors'!$F$16:$G$21,2,FALSE)</f>
        <v>2</v>
      </c>
      <c r="X11" s="25" t="str">
        <f>IFERROR(VLOOKUP(RiskRegister[[#This Row],[Residual Risk Rating]],'Rating factors'!$F$30:$G$44,2,FALSE),"-- Error --")</f>
        <v>Low</v>
      </c>
      <c r="Y11" s="17">
        <f>IFERROR(RiskRegister[[#This Row],[Residual Impact Rating]]*RiskRegister[[#This Row],[Residual Likelihood Rating]],"-- Error --")</f>
        <v>4</v>
      </c>
      <c r="Z11" s="24" t="s">
        <v>19</v>
      </c>
      <c r="AA11" s="16" t="s">
        <v>430</v>
      </c>
      <c r="AB11" s="56"/>
      <c r="AD11" s="20" t="str">
        <f ca="1">IF(ISBLANK(RiskRegister[[#This Row],[Risk Due Date]]), "Missing Risk Due Date", IF(RiskRegister[[#This Row],[Risk Due Date]] &lt; TODAY(), "Overdue", "Not Overdue"))</f>
        <v>Missing Risk Due Date</v>
      </c>
      <c r="AE11" s="177">
        <v>45473</v>
      </c>
      <c r="AF11" s="20" t="str">
        <f>IF(ISBLANK(RiskRegister[[#This Row],[Risk Due Date]]), "Missing Risk Due Date", TEXT(RiskRegister[[#This Row],[Risk Due Date]], "YYYY-MM"))</f>
        <v>Missing Risk Due Date</v>
      </c>
      <c r="AG11" s="20" t="str">
        <f>IF(RiskRegister[[#This Row],[Created Date]]="","Created Date missing",(TEXT(RiskRegister[[#This Row],[Created Date]],"mmm") &amp; "-" &amp; YEAR(RiskRegister[[#This Row],[Created Date]])))</f>
        <v>Apr-2024</v>
      </c>
      <c r="AH11" s="74">
        <f>IF(RiskRegister[[#This Row],[Risk Status]]="Closed",RiskRegister[[#This Row],[Risk Close Date]],RiskRegister[[#This Row],[Risk Due Date]])</f>
        <v>0</v>
      </c>
      <c r="AI11" s="74">
        <f>IF(RiskRegister[[#This Row],[Risk-Change-Date]]=0,DATE(2030,1,1),RiskRegister[[#This Row],[Risk-Change-Date]])</f>
        <v>47484</v>
      </c>
      <c r="AJ11" s="20" t="str">
        <f>RiskRegister[[#This Row],[Inherent Impact Level]]&amp;"-"&amp;RiskRegister[[#This Row],[Inherent Likelihood Level]]</f>
        <v>Low-Unlikely</v>
      </c>
      <c r="AK11" s="20" t="str">
        <f>RiskRegister[[#This Row],[Residual Impact Level]]&amp;"-"&amp;RiskRegister[[#This Row],[Residual Likelihood Level]]</f>
        <v>Low-Unlikely</v>
      </c>
      <c r="AL11" s="20" t="str">
        <f t="shared" si="0"/>
        <v>Yes</v>
      </c>
      <c r="AM11" s="20" t="str">
        <f>IF(RiskRegister[[#This Row],[Risk Status]]="Closed",RiskRegister[[#This Row],[Residual Impact Level]],RiskRegister[[#This Row],[Inherent Impact Level]])</f>
        <v>Low</v>
      </c>
      <c r="AN11" s="20" t="str">
        <f>IF(RiskRegister[[#This Row],[Risk Status]]="Closed",RiskRegister[[#This Row],[Residual Likelihood Level]],RiskRegister[[#This Row],[Inherent Likelihood Level]])</f>
        <v>Unlikely</v>
      </c>
      <c r="AO11" s="20" t="str">
        <f>IF(RiskRegister[[#This Row],[Risk Status]]="Closed",RiskRegister[[#This Row],[Residual-I-L-Combo]],RiskRegister[[#This Row],[Inherent-I-L-Combo]])</f>
        <v>Low-Unlikely</v>
      </c>
      <c r="AP11" s="20" t="str">
        <f t="shared" si="1"/>
        <v>Low</v>
      </c>
    </row>
    <row r="12" spans="1:42" s="16" customFormat="1" ht="30" x14ac:dyDescent="0.25">
      <c r="A12" s="24">
        <v>9</v>
      </c>
      <c r="B12" s="16" t="s">
        <v>350</v>
      </c>
      <c r="C12" s="16" t="s">
        <v>97</v>
      </c>
      <c r="D12" s="26">
        <v>45391</v>
      </c>
      <c r="E12" s="16" t="s">
        <v>97</v>
      </c>
      <c r="F12" s="16" t="s">
        <v>97</v>
      </c>
      <c r="G12" s="24" t="s">
        <v>51</v>
      </c>
      <c r="H12" s="16" t="s">
        <v>431</v>
      </c>
      <c r="I12" s="24" t="s">
        <v>502</v>
      </c>
      <c r="J12" s="16" t="s">
        <v>432</v>
      </c>
      <c r="K12" s="16" t="s">
        <v>433</v>
      </c>
      <c r="L12" s="24" t="s">
        <v>12</v>
      </c>
      <c r="M12" s="17">
        <f>VLOOKUP(RiskRegister[[#This Row],[Inherent Impact Level]],'Rating factors'!$F$4:$G$9,2,FALSE)</f>
        <v>4</v>
      </c>
      <c r="N12" s="24" t="s">
        <v>66</v>
      </c>
      <c r="O12" s="17">
        <f>VLOOKUP(RiskRegister[[#This Row],[Inherent Likelihood Level]],'Rating factors'!$F$16:$G$21,2,FALSE)</f>
        <v>3</v>
      </c>
      <c r="P12" s="25" t="str">
        <f>IFERROR(VLOOKUP(RiskRegister[[#This Row],[Inherent Risk Rating]],'Rating factors'!$F$30:$G$44,2,FALSE),"-- Error --")</f>
        <v>Medium</v>
      </c>
      <c r="Q12" s="17">
        <f>IFERROR(RiskRegister[[#This Row],[Inherent Impact Rating]]*RiskRegister[[#This Row],[Inherent Likelihood Rating]],"-- Error --")</f>
        <v>12</v>
      </c>
      <c r="R12" s="24" t="s">
        <v>23</v>
      </c>
      <c r="S12" s="16" t="s">
        <v>434</v>
      </c>
      <c r="T12" s="24" t="s">
        <v>74</v>
      </c>
      <c r="U12" s="17">
        <f>VLOOKUP(RiskRegister[[#This Row],[Residual Impact Level]],'Rating factors'!$F$4:$G$9,2,FALSE)</f>
        <v>1</v>
      </c>
      <c r="V12" s="24" t="s">
        <v>9</v>
      </c>
      <c r="W12" s="17">
        <f>VLOOKUP(RiskRegister[[#This Row],[Residual Likelihood Level]],'Rating factors'!$F$16:$G$21,2,FALSE)</f>
        <v>4</v>
      </c>
      <c r="X12" s="25" t="str">
        <f>IFERROR(VLOOKUP(RiskRegister[[#This Row],[Residual Risk Rating]],'Rating factors'!$F$30:$G$44,2,FALSE),"-- Error --")</f>
        <v>Low</v>
      </c>
      <c r="Y12" s="17">
        <f>IFERROR(RiskRegister[[#This Row],[Residual Impact Rating]]*RiskRegister[[#This Row],[Residual Likelihood Rating]],"-- Error --")</f>
        <v>4</v>
      </c>
      <c r="Z12" s="24" t="s">
        <v>18</v>
      </c>
      <c r="AA12" s="16" t="s">
        <v>435</v>
      </c>
      <c r="AB12" s="56"/>
      <c r="AD12" s="20" t="str">
        <f ca="1">IF(ISBLANK(RiskRegister[[#This Row],[Risk Due Date]]), "Missing Risk Due Date", IF(RiskRegister[[#This Row],[Risk Due Date]] &lt; TODAY(), "Overdue", "Not Overdue"))</f>
        <v>Missing Risk Due Date</v>
      </c>
      <c r="AE12" s="177">
        <v>45565</v>
      </c>
      <c r="AF12" s="20" t="str">
        <f>IF(ISBLANK(RiskRegister[[#This Row],[Risk Due Date]]), "Missing Risk Due Date", TEXT(RiskRegister[[#This Row],[Risk Due Date]], "YYYY-MM"))</f>
        <v>Missing Risk Due Date</v>
      </c>
      <c r="AG12" s="20" t="str">
        <f>IF(RiskRegister[[#This Row],[Created Date]]="","Created Date missing",(TEXT(RiskRegister[[#This Row],[Created Date]],"mmm") &amp; "-" &amp; YEAR(RiskRegister[[#This Row],[Created Date]])))</f>
        <v>Apr-2024</v>
      </c>
      <c r="AH12" s="74">
        <f>IF(RiskRegister[[#This Row],[Risk Status]]="Closed",RiskRegister[[#This Row],[Risk Close Date]],RiskRegister[[#This Row],[Risk Due Date]])</f>
        <v>0</v>
      </c>
      <c r="AI12" s="74">
        <f>IF(RiskRegister[[#This Row],[Risk-Change-Date]]=0,DATE(2030,1,1),RiskRegister[[#This Row],[Risk-Change-Date]])</f>
        <v>47484</v>
      </c>
      <c r="AJ12" s="20" t="str">
        <f>RiskRegister[[#This Row],[Inherent Impact Level]]&amp;"-"&amp;RiskRegister[[#This Row],[Inherent Likelihood Level]]</f>
        <v>High-Possible</v>
      </c>
      <c r="AK12" s="20" t="str">
        <f>RiskRegister[[#This Row],[Residual Impact Level]]&amp;"-"&amp;RiskRegister[[#This Row],[Residual Likelihood Level]]</f>
        <v>Very Low-Likely</v>
      </c>
      <c r="AL12" s="20" t="str">
        <f t="shared" si="0"/>
        <v>No</v>
      </c>
      <c r="AM12" s="20" t="str">
        <f>IF(RiskRegister[[#This Row],[Risk Status]]="Closed",RiskRegister[[#This Row],[Residual Impact Level]],RiskRegister[[#This Row],[Inherent Impact Level]])</f>
        <v>High</v>
      </c>
      <c r="AN12" s="20" t="str">
        <f>IF(RiskRegister[[#This Row],[Risk Status]]="Closed",RiskRegister[[#This Row],[Residual Likelihood Level]],RiskRegister[[#This Row],[Inherent Likelihood Level]])</f>
        <v>Possible</v>
      </c>
      <c r="AO12" s="20" t="str">
        <f>IF(RiskRegister[[#This Row],[Risk Status]]="Closed",RiskRegister[[#This Row],[Residual-I-L-Combo]],RiskRegister[[#This Row],[Inherent-I-L-Combo]])</f>
        <v>High-Possible</v>
      </c>
      <c r="AP12" s="20" t="str">
        <f t="shared" si="1"/>
        <v>Medium</v>
      </c>
    </row>
    <row r="13" spans="1:42" s="16" customFormat="1" ht="30" x14ac:dyDescent="0.25">
      <c r="A13" s="24">
        <v>10</v>
      </c>
      <c r="B13" s="16" t="s">
        <v>351</v>
      </c>
      <c r="C13" s="16" t="s">
        <v>98</v>
      </c>
      <c r="D13" s="26">
        <v>45392</v>
      </c>
      <c r="E13" s="16" t="s">
        <v>98</v>
      </c>
      <c r="F13" s="16" t="s">
        <v>98</v>
      </c>
      <c r="G13" s="24" t="s">
        <v>48</v>
      </c>
      <c r="H13" s="16" t="s">
        <v>436</v>
      </c>
      <c r="I13" s="24" t="s">
        <v>57</v>
      </c>
      <c r="J13" s="16" t="s">
        <v>432</v>
      </c>
      <c r="K13" s="16" t="s">
        <v>437</v>
      </c>
      <c r="L13" s="24" t="s">
        <v>75</v>
      </c>
      <c r="M13" s="17">
        <f>VLOOKUP(RiskRegister[[#This Row],[Inherent Impact Level]],'Rating factors'!$F$4:$G$9,2,FALSE)</f>
        <v>5</v>
      </c>
      <c r="N13" s="24" t="s">
        <v>66</v>
      </c>
      <c r="O13" s="17">
        <f>VLOOKUP(RiskRegister[[#This Row],[Inherent Likelihood Level]],'Rating factors'!$F$16:$G$21,2,FALSE)</f>
        <v>3</v>
      </c>
      <c r="P13" s="25" t="str">
        <f>IFERROR(VLOOKUP(RiskRegister[[#This Row],[Inherent Risk Rating]],'Rating factors'!$F$30:$G$44,2,FALSE),"-- Error --")</f>
        <v>Medium</v>
      </c>
      <c r="Q13" s="17">
        <f>IFERROR(RiskRegister[[#This Row],[Inherent Impact Rating]]*RiskRegister[[#This Row],[Inherent Likelihood Rating]],"-- Error --")</f>
        <v>15</v>
      </c>
      <c r="R13" s="24" t="s">
        <v>23</v>
      </c>
      <c r="S13" s="16" t="s">
        <v>438</v>
      </c>
      <c r="T13" s="24" t="s">
        <v>14</v>
      </c>
      <c r="U13" s="17">
        <f>VLOOKUP(RiskRegister[[#This Row],[Residual Impact Level]],'Rating factors'!$F$4:$G$9,2,FALSE)</f>
        <v>2</v>
      </c>
      <c r="V13" s="24" t="s">
        <v>9</v>
      </c>
      <c r="W13" s="17">
        <f>VLOOKUP(RiskRegister[[#This Row],[Residual Likelihood Level]],'Rating factors'!$F$16:$G$21,2,FALSE)</f>
        <v>4</v>
      </c>
      <c r="X13" s="25" t="str">
        <f>IFERROR(VLOOKUP(RiskRegister[[#This Row],[Residual Risk Rating]],'Rating factors'!$F$30:$G$44,2,FALSE),"-- Error --")</f>
        <v>Medium</v>
      </c>
      <c r="Y13" s="17">
        <f>IFERROR(RiskRegister[[#This Row],[Residual Impact Rating]]*RiskRegister[[#This Row],[Residual Likelihood Rating]],"-- Error --")</f>
        <v>8</v>
      </c>
      <c r="Z13" s="24" t="s">
        <v>18</v>
      </c>
      <c r="AA13" s="16" t="s">
        <v>439</v>
      </c>
      <c r="AB13" s="56"/>
      <c r="AD13" s="20" t="str">
        <f ca="1">IF(ISBLANK(RiskRegister[[#This Row],[Risk Due Date]]), "Missing Risk Due Date", IF(RiskRegister[[#This Row],[Risk Due Date]] &lt; TODAY(), "Overdue", "Not Overdue"))</f>
        <v>Missing Risk Due Date</v>
      </c>
      <c r="AE13" s="177">
        <v>45565</v>
      </c>
      <c r="AF13" s="20" t="str">
        <f>IF(ISBLANK(RiskRegister[[#This Row],[Risk Due Date]]), "Missing Risk Due Date", TEXT(RiskRegister[[#This Row],[Risk Due Date]], "YYYY-MM"))</f>
        <v>Missing Risk Due Date</v>
      </c>
      <c r="AG13" s="20" t="str">
        <f>IF(RiskRegister[[#This Row],[Created Date]]="","Created Date missing",(TEXT(RiskRegister[[#This Row],[Created Date]],"mmm") &amp; "-" &amp; YEAR(RiskRegister[[#This Row],[Created Date]])))</f>
        <v>Apr-2024</v>
      </c>
      <c r="AH13" s="74">
        <f>IF(RiskRegister[[#This Row],[Risk Status]]="Closed",RiskRegister[[#This Row],[Risk Close Date]],RiskRegister[[#This Row],[Risk Due Date]])</f>
        <v>0</v>
      </c>
      <c r="AI13" s="74">
        <f>IF(RiskRegister[[#This Row],[Risk-Change-Date]]=0,DATE(2030,1,1),RiskRegister[[#This Row],[Risk-Change-Date]])</f>
        <v>47484</v>
      </c>
      <c r="AJ13" s="20" t="str">
        <f>RiskRegister[[#This Row],[Inherent Impact Level]]&amp;"-"&amp;RiskRegister[[#This Row],[Inherent Likelihood Level]]</f>
        <v>Very High-Possible</v>
      </c>
      <c r="AK13" s="20" t="str">
        <f>RiskRegister[[#This Row],[Residual Impact Level]]&amp;"-"&amp;RiskRegister[[#This Row],[Residual Likelihood Level]]</f>
        <v>Low-Likely</v>
      </c>
      <c r="AL13" s="20" t="str">
        <f t="shared" si="0"/>
        <v>No</v>
      </c>
      <c r="AM13" s="20" t="str">
        <f>IF(RiskRegister[[#This Row],[Risk Status]]="Closed",RiskRegister[[#This Row],[Residual Impact Level]],RiskRegister[[#This Row],[Inherent Impact Level]])</f>
        <v>Very High</v>
      </c>
      <c r="AN13" s="20" t="str">
        <f>IF(RiskRegister[[#This Row],[Risk Status]]="Closed",RiskRegister[[#This Row],[Residual Likelihood Level]],RiskRegister[[#This Row],[Inherent Likelihood Level]])</f>
        <v>Possible</v>
      </c>
      <c r="AO13" s="20" t="str">
        <f>IF(RiskRegister[[#This Row],[Risk Status]]="Closed",RiskRegister[[#This Row],[Residual-I-L-Combo]],RiskRegister[[#This Row],[Inherent-I-L-Combo]])</f>
        <v>Very High-Possible</v>
      </c>
      <c r="AP13" s="20" t="str">
        <f t="shared" si="1"/>
        <v>Medium</v>
      </c>
    </row>
    <row r="14" spans="1:42" s="16" customFormat="1" ht="30" x14ac:dyDescent="0.25">
      <c r="A14" s="24">
        <v>11</v>
      </c>
      <c r="B14" s="16" t="s">
        <v>352</v>
      </c>
      <c r="C14" s="16" t="s">
        <v>99</v>
      </c>
      <c r="D14" s="26">
        <v>45393</v>
      </c>
      <c r="E14" s="16" t="s">
        <v>99</v>
      </c>
      <c r="F14" s="16" t="s">
        <v>99</v>
      </c>
      <c r="G14" s="24" t="s">
        <v>47</v>
      </c>
      <c r="H14" s="16" t="s">
        <v>440</v>
      </c>
      <c r="I14" s="24" t="s">
        <v>57</v>
      </c>
      <c r="J14" s="16" t="s">
        <v>399</v>
      </c>
      <c r="K14" s="16" t="s">
        <v>441</v>
      </c>
      <c r="L14" s="24" t="s">
        <v>74</v>
      </c>
      <c r="M14" s="17">
        <f>VLOOKUP(RiskRegister[[#This Row],[Inherent Impact Level]],'Rating factors'!$F$4:$G$9,2,FALSE)</f>
        <v>1</v>
      </c>
      <c r="N14" s="24" t="s">
        <v>66</v>
      </c>
      <c r="O14" s="17">
        <f>VLOOKUP(RiskRegister[[#This Row],[Inherent Likelihood Level]],'Rating factors'!$F$16:$G$21,2,FALSE)</f>
        <v>3</v>
      </c>
      <c r="P14" s="25" t="str">
        <f>IFERROR(VLOOKUP(RiskRegister[[#This Row],[Inherent Risk Rating]],'Rating factors'!$F$30:$G$44,2,FALSE),"-- Error --")</f>
        <v>Low</v>
      </c>
      <c r="Q14" s="17">
        <f>IFERROR(RiskRegister[[#This Row],[Inherent Impact Rating]]*RiskRegister[[#This Row],[Inherent Likelihood Rating]],"-- Error --")</f>
        <v>3</v>
      </c>
      <c r="R14" s="24" t="s">
        <v>23</v>
      </c>
      <c r="S14" s="16" t="s">
        <v>442</v>
      </c>
      <c r="T14" s="24" t="s">
        <v>74</v>
      </c>
      <c r="U14" s="17">
        <f>VLOOKUP(RiskRegister[[#This Row],[Residual Impact Level]],'Rating factors'!$F$4:$G$9,2,FALSE)</f>
        <v>1</v>
      </c>
      <c r="V14" s="24" t="s">
        <v>9</v>
      </c>
      <c r="W14" s="17">
        <f>VLOOKUP(RiskRegister[[#This Row],[Residual Likelihood Level]],'Rating factors'!$F$16:$G$21,2,FALSE)</f>
        <v>4</v>
      </c>
      <c r="X14" s="25" t="str">
        <f>IFERROR(VLOOKUP(RiskRegister[[#This Row],[Residual Risk Rating]],'Rating factors'!$F$30:$G$44,2,FALSE),"-- Error --")</f>
        <v>Low</v>
      </c>
      <c r="Y14" s="17">
        <f>IFERROR(RiskRegister[[#This Row],[Residual Impact Rating]]*RiskRegister[[#This Row],[Residual Likelihood Rating]],"-- Error --")</f>
        <v>4</v>
      </c>
      <c r="Z14" s="24" t="s">
        <v>115</v>
      </c>
      <c r="AA14" s="16" t="s">
        <v>443</v>
      </c>
      <c r="AB14" s="56">
        <v>45567</v>
      </c>
      <c r="AD14" s="20" t="str">
        <f ca="1">IF(ISBLANK(RiskRegister[[#This Row],[Risk Due Date]]), "Missing Risk Due Date", IF(RiskRegister[[#This Row],[Risk Due Date]] &lt; TODAY(), "Overdue", "Not Overdue"))</f>
        <v>Overdue</v>
      </c>
      <c r="AE14" s="177">
        <v>45657</v>
      </c>
      <c r="AF14" s="20" t="str">
        <f>IF(ISBLANK(RiskRegister[[#This Row],[Risk Due Date]]), "Missing Risk Due Date", TEXT(RiskRegister[[#This Row],[Risk Due Date]], "YYYY-MM"))</f>
        <v>2024-10</v>
      </c>
      <c r="AG14" s="20" t="str">
        <f>IF(RiskRegister[[#This Row],[Created Date]]="","Created Date missing",(TEXT(RiskRegister[[#This Row],[Created Date]],"mmm") &amp; "-" &amp; YEAR(RiskRegister[[#This Row],[Created Date]])))</f>
        <v>Apr-2024</v>
      </c>
      <c r="AH14" s="74">
        <f>IF(RiskRegister[[#This Row],[Risk Status]]="Closed",RiskRegister[[#This Row],[Risk Close Date]],RiskRegister[[#This Row],[Risk Due Date]])</f>
        <v>45567</v>
      </c>
      <c r="AI14" s="74">
        <f>IF(RiskRegister[[#This Row],[Risk-Change-Date]]=0,DATE(2030,1,1),RiskRegister[[#This Row],[Risk-Change-Date]])</f>
        <v>45567</v>
      </c>
      <c r="AJ14" s="20" t="str">
        <f>RiskRegister[[#This Row],[Inherent Impact Level]]&amp;"-"&amp;RiskRegister[[#This Row],[Inherent Likelihood Level]]</f>
        <v>Very Low-Possible</v>
      </c>
      <c r="AK14" s="20" t="str">
        <f>RiskRegister[[#This Row],[Residual Impact Level]]&amp;"-"&amp;RiskRegister[[#This Row],[Residual Likelihood Level]]</f>
        <v>Very Low-Likely</v>
      </c>
      <c r="AL14" s="20" t="str">
        <f t="shared" si="0"/>
        <v>No</v>
      </c>
      <c r="AM14" s="20" t="str">
        <f>IF(RiskRegister[[#This Row],[Risk Status]]="Closed",RiskRegister[[#This Row],[Residual Impact Level]],RiskRegister[[#This Row],[Inherent Impact Level]])</f>
        <v>Very Low</v>
      </c>
      <c r="AN14" s="20" t="str">
        <f>IF(RiskRegister[[#This Row],[Risk Status]]="Closed",RiskRegister[[#This Row],[Residual Likelihood Level]],RiskRegister[[#This Row],[Inherent Likelihood Level]])</f>
        <v>Possible</v>
      </c>
      <c r="AO14" s="20" t="str">
        <f>IF(RiskRegister[[#This Row],[Risk Status]]="Closed",RiskRegister[[#This Row],[Residual-I-L-Combo]],RiskRegister[[#This Row],[Inherent-I-L-Combo]])</f>
        <v>Very Low-Possible</v>
      </c>
      <c r="AP14" s="20" t="str">
        <f t="shared" si="1"/>
        <v>Low</v>
      </c>
    </row>
    <row r="15" spans="1:42" s="16" customFormat="1" ht="30" x14ac:dyDescent="0.25">
      <c r="A15" s="24">
        <v>12</v>
      </c>
      <c r="B15" s="16" t="s">
        <v>353</v>
      </c>
      <c r="C15" s="16" t="s">
        <v>100</v>
      </c>
      <c r="D15" s="26">
        <v>45394</v>
      </c>
      <c r="E15" s="16" t="s">
        <v>100</v>
      </c>
      <c r="F15" s="16" t="s">
        <v>100</v>
      </c>
      <c r="G15" s="24" t="s">
        <v>44</v>
      </c>
      <c r="H15" s="16" t="s">
        <v>444</v>
      </c>
      <c r="I15" s="24" t="s">
        <v>54</v>
      </c>
      <c r="J15" s="16" t="s">
        <v>432</v>
      </c>
      <c r="K15" s="16" t="s">
        <v>445</v>
      </c>
      <c r="L15" s="24" t="s">
        <v>14</v>
      </c>
      <c r="M15" s="17">
        <f>VLOOKUP(RiskRegister[[#This Row],[Inherent Impact Level]],'Rating factors'!$F$4:$G$9,2,FALSE)</f>
        <v>2</v>
      </c>
      <c r="N15" s="24" t="s">
        <v>63</v>
      </c>
      <c r="O15" s="17">
        <f>VLOOKUP(RiskRegister[[#This Row],[Inherent Likelihood Level]],'Rating factors'!$F$16:$G$21,2,FALSE)</f>
        <v>5</v>
      </c>
      <c r="P15" s="25" t="str">
        <f>IFERROR(VLOOKUP(RiskRegister[[#This Row],[Inherent Risk Rating]],'Rating factors'!$F$30:$G$44,2,FALSE),"-- Error --")</f>
        <v>Medium</v>
      </c>
      <c r="Q15" s="17">
        <f>IFERROR(RiskRegister[[#This Row],[Inherent Impact Rating]]*RiskRegister[[#This Row],[Inherent Likelihood Rating]],"-- Error --")</f>
        <v>10</v>
      </c>
      <c r="R15" s="24" t="s">
        <v>23</v>
      </c>
      <c r="S15" s="16" t="s">
        <v>446</v>
      </c>
      <c r="T15" s="24" t="s">
        <v>74</v>
      </c>
      <c r="U15" s="17">
        <f>VLOOKUP(RiskRegister[[#This Row],[Residual Impact Level]],'Rating factors'!$F$4:$G$9,2,FALSE)</f>
        <v>1</v>
      </c>
      <c r="V15" s="24" t="s">
        <v>9</v>
      </c>
      <c r="W15" s="17">
        <f>VLOOKUP(RiskRegister[[#This Row],[Residual Likelihood Level]],'Rating factors'!$F$16:$G$21,2,FALSE)</f>
        <v>4</v>
      </c>
      <c r="X15" s="25" t="str">
        <f>IFERROR(VLOOKUP(RiskRegister[[#This Row],[Residual Risk Rating]],'Rating factors'!$F$30:$G$44,2,FALSE),"-- Error --")</f>
        <v>Low</v>
      </c>
      <c r="Y15" s="17">
        <f>IFERROR(RiskRegister[[#This Row],[Residual Impact Rating]]*RiskRegister[[#This Row],[Residual Likelihood Rating]],"-- Error --")</f>
        <v>4</v>
      </c>
      <c r="Z15" s="24" t="s">
        <v>115</v>
      </c>
      <c r="AA15" s="16" t="s">
        <v>447</v>
      </c>
      <c r="AB15" s="56">
        <v>45626</v>
      </c>
      <c r="AD15" s="20" t="str">
        <f ca="1">IF(ISBLANK(RiskRegister[[#This Row],[Risk Due Date]]), "Missing Risk Due Date", IF(RiskRegister[[#This Row],[Risk Due Date]] &lt; TODAY(), "Overdue", "Not Overdue"))</f>
        <v>Overdue</v>
      </c>
      <c r="AE15" s="177">
        <v>45657</v>
      </c>
      <c r="AF15" s="20" t="str">
        <f>IF(ISBLANK(RiskRegister[[#This Row],[Risk Due Date]]), "Missing Risk Due Date", TEXT(RiskRegister[[#This Row],[Risk Due Date]], "YYYY-MM"))</f>
        <v>2024-11</v>
      </c>
      <c r="AG15" s="20" t="str">
        <f>IF(RiskRegister[[#This Row],[Created Date]]="","Created Date missing",(TEXT(RiskRegister[[#This Row],[Created Date]],"mmm") &amp; "-" &amp; YEAR(RiskRegister[[#This Row],[Created Date]])))</f>
        <v>Apr-2024</v>
      </c>
      <c r="AH15" s="74">
        <f>IF(RiskRegister[[#This Row],[Risk Status]]="Closed",RiskRegister[[#This Row],[Risk Close Date]],RiskRegister[[#This Row],[Risk Due Date]])</f>
        <v>45626</v>
      </c>
      <c r="AI15" s="74">
        <f>IF(RiskRegister[[#This Row],[Risk-Change-Date]]=0,DATE(2030,1,1),RiskRegister[[#This Row],[Risk-Change-Date]])</f>
        <v>45626</v>
      </c>
      <c r="AJ15" s="20" t="str">
        <f>RiskRegister[[#This Row],[Inherent Impact Level]]&amp;"-"&amp;RiskRegister[[#This Row],[Inherent Likelihood Level]]</f>
        <v>Low-Highly Likely</v>
      </c>
      <c r="AK15" s="20" t="str">
        <f>RiskRegister[[#This Row],[Residual Impact Level]]&amp;"-"&amp;RiskRegister[[#This Row],[Residual Likelihood Level]]</f>
        <v>Very Low-Likely</v>
      </c>
      <c r="AL15" s="20" t="str">
        <f t="shared" si="0"/>
        <v>No</v>
      </c>
      <c r="AM15" s="20" t="str">
        <f>IF(RiskRegister[[#This Row],[Risk Status]]="Closed",RiskRegister[[#This Row],[Residual Impact Level]],RiskRegister[[#This Row],[Inherent Impact Level]])</f>
        <v>Low</v>
      </c>
      <c r="AN15" s="20" t="str">
        <f>IF(RiskRegister[[#This Row],[Risk Status]]="Closed",RiskRegister[[#This Row],[Residual Likelihood Level]],RiskRegister[[#This Row],[Inherent Likelihood Level]])</f>
        <v>Highly Likely</v>
      </c>
      <c r="AO15" s="20" t="str">
        <f>IF(RiskRegister[[#This Row],[Risk Status]]="Closed",RiskRegister[[#This Row],[Residual-I-L-Combo]],RiskRegister[[#This Row],[Inherent-I-L-Combo]])</f>
        <v>Low-Highly Likely</v>
      </c>
      <c r="AP15" s="20" t="str">
        <f t="shared" si="1"/>
        <v>Medium</v>
      </c>
    </row>
    <row r="16" spans="1:42" s="16" customFormat="1" ht="30" x14ac:dyDescent="0.25">
      <c r="A16" s="24">
        <v>13</v>
      </c>
      <c r="B16" s="16" t="s">
        <v>354</v>
      </c>
      <c r="C16" s="16" t="s">
        <v>101</v>
      </c>
      <c r="D16" s="26">
        <v>45425</v>
      </c>
      <c r="E16" s="16" t="s">
        <v>101</v>
      </c>
      <c r="F16" s="16" t="s">
        <v>101</v>
      </c>
      <c r="G16" s="24" t="s">
        <v>46</v>
      </c>
      <c r="H16" s="16" t="s">
        <v>448</v>
      </c>
      <c r="I16" s="24" t="s">
        <v>58</v>
      </c>
      <c r="J16" s="16" t="s">
        <v>449</v>
      </c>
      <c r="K16" s="16" t="s">
        <v>450</v>
      </c>
      <c r="L16" s="24" t="s">
        <v>8</v>
      </c>
      <c r="M16" s="17">
        <f>VLOOKUP(RiskRegister[[#This Row],[Inherent Impact Level]],'Rating factors'!$F$4:$G$9,2,FALSE)</f>
        <v>3</v>
      </c>
      <c r="N16" s="24" t="s">
        <v>63</v>
      </c>
      <c r="O16" s="17">
        <f>VLOOKUP(RiskRegister[[#This Row],[Inherent Likelihood Level]],'Rating factors'!$F$16:$G$21,2,FALSE)</f>
        <v>5</v>
      </c>
      <c r="P16" s="25" t="str">
        <f>IFERROR(VLOOKUP(RiskRegister[[#This Row],[Inherent Risk Rating]],'Rating factors'!$F$30:$G$44,2,FALSE),"-- Error --")</f>
        <v>Medium</v>
      </c>
      <c r="Q16" s="17">
        <f>IFERROR(RiskRegister[[#This Row],[Inherent Impact Rating]]*RiskRegister[[#This Row],[Inherent Likelihood Rating]],"-- Error --")</f>
        <v>15</v>
      </c>
      <c r="R16" s="24" t="s">
        <v>23</v>
      </c>
      <c r="S16" s="16" t="s">
        <v>451</v>
      </c>
      <c r="T16" s="24" t="s">
        <v>14</v>
      </c>
      <c r="U16" s="17">
        <f>VLOOKUP(RiskRegister[[#This Row],[Residual Impact Level]],'Rating factors'!$F$4:$G$9,2,FALSE)</f>
        <v>2</v>
      </c>
      <c r="V16" s="24" t="s">
        <v>9</v>
      </c>
      <c r="W16" s="17">
        <f>VLOOKUP(RiskRegister[[#This Row],[Residual Likelihood Level]],'Rating factors'!$F$16:$G$21,2,FALSE)</f>
        <v>4</v>
      </c>
      <c r="X16" s="25" t="str">
        <f>IFERROR(VLOOKUP(RiskRegister[[#This Row],[Residual Risk Rating]],'Rating factors'!$F$30:$G$44,2,FALSE),"-- Error --")</f>
        <v>Medium</v>
      </c>
      <c r="Y16" s="17">
        <f>IFERROR(RiskRegister[[#This Row],[Residual Impact Rating]]*RiskRegister[[#This Row],[Residual Likelihood Rating]],"-- Error --")</f>
        <v>8</v>
      </c>
      <c r="Z16" s="24" t="s">
        <v>115</v>
      </c>
      <c r="AA16" s="16" t="s">
        <v>406</v>
      </c>
      <c r="AB16" s="56">
        <v>45631</v>
      </c>
      <c r="AD16" s="20" t="str">
        <f ca="1">IF(ISBLANK(RiskRegister[[#This Row],[Risk Due Date]]), "Missing Risk Due Date", IF(RiskRegister[[#This Row],[Risk Due Date]] &lt; TODAY(), "Overdue", "Not Overdue"))</f>
        <v>Overdue</v>
      </c>
      <c r="AE16" s="177">
        <v>45657</v>
      </c>
      <c r="AF16" s="20" t="str">
        <f>IF(ISBLANK(RiskRegister[[#This Row],[Risk Due Date]]), "Missing Risk Due Date", TEXT(RiskRegister[[#This Row],[Risk Due Date]], "YYYY-MM"))</f>
        <v>2024-12</v>
      </c>
      <c r="AG16" s="20" t="str">
        <f>IF(RiskRegister[[#This Row],[Created Date]]="","Created Date missing",(TEXT(RiskRegister[[#This Row],[Created Date]],"mmm") &amp; "-" &amp; YEAR(RiskRegister[[#This Row],[Created Date]])))</f>
        <v>May-2024</v>
      </c>
      <c r="AH16" s="74">
        <f>IF(RiskRegister[[#This Row],[Risk Status]]="Closed",RiskRegister[[#This Row],[Risk Close Date]],RiskRegister[[#This Row],[Risk Due Date]])</f>
        <v>45631</v>
      </c>
      <c r="AI16" s="74">
        <f>IF(RiskRegister[[#This Row],[Risk-Change-Date]]=0,DATE(2030,1,1),RiskRegister[[#This Row],[Risk-Change-Date]])</f>
        <v>45631</v>
      </c>
      <c r="AJ16" s="20" t="str">
        <f>RiskRegister[[#This Row],[Inherent Impact Level]]&amp;"-"&amp;RiskRegister[[#This Row],[Inherent Likelihood Level]]</f>
        <v>Moderate-Highly Likely</v>
      </c>
      <c r="AK16" s="20" t="str">
        <f>RiskRegister[[#This Row],[Residual Impact Level]]&amp;"-"&amp;RiskRegister[[#This Row],[Residual Likelihood Level]]</f>
        <v>Low-Likely</v>
      </c>
      <c r="AL16" s="20" t="str">
        <f t="shared" si="0"/>
        <v>No</v>
      </c>
      <c r="AM16" s="20" t="str">
        <f>IF(RiskRegister[[#This Row],[Risk Status]]="Closed",RiskRegister[[#This Row],[Residual Impact Level]],RiskRegister[[#This Row],[Inherent Impact Level]])</f>
        <v>Moderate</v>
      </c>
      <c r="AN16" s="20" t="str">
        <f>IF(RiskRegister[[#This Row],[Risk Status]]="Closed",RiskRegister[[#This Row],[Residual Likelihood Level]],RiskRegister[[#This Row],[Inherent Likelihood Level]])</f>
        <v>Highly Likely</v>
      </c>
      <c r="AO16" s="20" t="str">
        <f>IF(RiskRegister[[#This Row],[Risk Status]]="Closed",RiskRegister[[#This Row],[Residual-I-L-Combo]],RiskRegister[[#This Row],[Inherent-I-L-Combo]])</f>
        <v>Moderate-Highly Likely</v>
      </c>
      <c r="AP16" s="20" t="str">
        <f t="shared" si="1"/>
        <v>Medium</v>
      </c>
    </row>
    <row r="17" spans="1:42" s="16" customFormat="1" ht="30" x14ac:dyDescent="0.25">
      <c r="A17" s="24">
        <v>14</v>
      </c>
      <c r="B17" s="16" t="s">
        <v>355</v>
      </c>
      <c r="C17" s="16" t="s">
        <v>102</v>
      </c>
      <c r="D17" s="26">
        <v>45396</v>
      </c>
      <c r="E17" s="16" t="s">
        <v>102</v>
      </c>
      <c r="F17" s="16" t="s">
        <v>102</v>
      </c>
      <c r="G17" s="24" t="s">
        <v>49</v>
      </c>
      <c r="H17" s="16" t="s">
        <v>452</v>
      </c>
      <c r="I17" s="24" t="s">
        <v>57</v>
      </c>
      <c r="J17" s="16" t="s">
        <v>453</v>
      </c>
      <c r="K17" s="16" t="s">
        <v>454</v>
      </c>
      <c r="L17" s="24" t="s">
        <v>12</v>
      </c>
      <c r="M17" s="17">
        <f>VLOOKUP(RiskRegister[[#This Row],[Inherent Impact Level]],'Rating factors'!$F$4:$G$9,2,FALSE)</f>
        <v>4</v>
      </c>
      <c r="N17" s="24" t="s">
        <v>63</v>
      </c>
      <c r="O17" s="17">
        <f>VLOOKUP(RiskRegister[[#This Row],[Inherent Likelihood Level]],'Rating factors'!$F$16:$G$21,2,FALSE)</f>
        <v>5</v>
      </c>
      <c r="P17" s="25" t="str">
        <f>IFERROR(VLOOKUP(RiskRegister[[#This Row],[Inherent Risk Rating]],'Rating factors'!$F$30:$G$44,2,FALSE),"-- Error --")</f>
        <v>High</v>
      </c>
      <c r="Q17" s="17">
        <f>IFERROR(RiskRegister[[#This Row],[Inherent Impact Rating]]*RiskRegister[[#This Row],[Inherent Likelihood Rating]],"-- Error --")</f>
        <v>20</v>
      </c>
      <c r="R17" s="24" t="s">
        <v>23</v>
      </c>
      <c r="S17" s="16" t="s">
        <v>455</v>
      </c>
      <c r="T17" s="24" t="s">
        <v>74</v>
      </c>
      <c r="U17" s="17">
        <f>VLOOKUP(RiskRegister[[#This Row],[Residual Impact Level]],'Rating factors'!$F$4:$G$9,2,FALSE)</f>
        <v>1</v>
      </c>
      <c r="V17" s="24" t="s">
        <v>9</v>
      </c>
      <c r="W17" s="17">
        <f>VLOOKUP(RiskRegister[[#This Row],[Residual Likelihood Level]],'Rating factors'!$F$16:$G$21,2,FALSE)</f>
        <v>4</v>
      </c>
      <c r="X17" s="25" t="str">
        <f>IFERROR(VLOOKUP(RiskRegister[[#This Row],[Residual Risk Rating]],'Rating factors'!$F$30:$G$44,2,FALSE),"-- Error --")</f>
        <v>Low</v>
      </c>
      <c r="Y17" s="17">
        <f>IFERROR(RiskRegister[[#This Row],[Residual Impact Rating]]*RiskRegister[[#This Row],[Residual Likelihood Rating]],"-- Error --")</f>
        <v>4</v>
      </c>
      <c r="Z17" s="24" t="s">
        <v>115</v>
      </c>
      <c r="AA17" s="16" t="s">
        <v>456</v>
      </c>
      <c r="AB17" s="56">
        <v>45310</v>
      </c>
      <c r="AD17" s="20" t="str">
        <f ca="1">IF(ISBLANK(RiskRegister[[#This Row],[Risk Due Date]]), "Missing Risk Due Date", IF(RiskRegister[[#This Row],[Risk Due Date]] &lt; TODAY(), "Overdue", "Not Overdue"))</f>
        <v>Overdue</v>
      </c>
      <c r="AE17" s="177">
        <v>45473</v>
      </c>
      <c r="AF17" s="20" t="str">
        <f>IF(ISBLANK(RiskRegister[[#This Row],[Risk Due Date]]), "Missing Risk Due Date", TEXT(RiskRegister[[#This Row],[Risk Due Date]], "YYYY-MM"))</f>
        <v>2024-01</v>
      </c>
      <c r="AG17" s="20" t="str">
        <f>IF(RiskRegister[[#This Row],[Created Date]]="","Created Date missing",(TEXT(RiskRegister[[#This Row],[Created Date]],"mmm") &amp; "-" &amp; YEAR(RiskRegister[[#This Row],[Created Date]])))</f>
        <v>Apr-2024</v>
      </c>
      <c r="AH17" s="74">
        <f>IF(RiskRegister[[#This Row],[Risk Status]]="Closed",RiskRegister[[#This Row],[Risk Close Date]],RiskRegister[[#This Row],[Risk Due Date]])</f>
        <v>45310</v>
      </c>
      <c r="AI17" s="74">
        <f>IF(RiskRegister[[#This Row],[Risk-Change-Date]]=0,DATE(2030,1,1),RiskRegister[[#This Row],[Risk-Change-Date]])</f>
        <v>45310</v>
      </c>
      <c r="AJ17" s="20" t="str">
        <f>RiskRegister[[#This Row],[Inherent Impact Level]]&amp;"-"&amp;RiskRegister[[#This Row],[Inherent Likelihood Level]]</f>
        <v>High-Highly Likely</v>
      </c>
      <c r="AK17" s="20" t="str">
        <f>RiskRegister[[#This Row],[Residual Impact Level]]&amp;"-"&amp;RiskRegister[[#This Row],[Residual Likelihood Level]]</f>
        <v>Very Low-Likely</v>
      </c>
      <c r="AL17" s="20" t="str">
        <f t="shared" si="0"/>
        <v>No</v>
      </c>
      <c r="AM17" s="20" t="str">
        <f>IF(RiskRegister[[#This Row],[Risk Status]]="Closed",RiskRegister[[#This Row],[Residual Impact Level]],RiskRegister[[#This Row],[Inherent Impact Level]])</f>
        <v>High</v>
      </c>
      <c r="AN17" s="20" t="str">
        <f>IF(RiskRegister[[#This Row],[Risk Status]]="Closed",RiskRegister[[#This Row],[Residual Likelihood Level]],RiskRegister[[#This Row],[Inherent Likelihood Level]])</f>
        <v>Highly Likely</v>
      </c>
      <c r="AO17" s="20" t="str">
        <f>IF(RiskRegister[[#This Row],[Risk Status]]="Closed",RiskRegister[[#This Row],[Residual-I-L-Combo]],RiskRegister[[#This Row],[Inherent-I-L-Combo]])</f>
        <v>High-Highly Likely</v>
      </c>
      <c r="AP17" s="20" t="str">
        <f t="shared" si="1"/>
        <v>High</v>
      </c>
    </row>
    <row r="18" spans="1:42" s="16" customFormat="1" ht="30" x14ac:dyDescent="0.25">
      <c r="A18" s="24">
        <v>15</v>
      </c>
      <c r="B18" s="16" t="s">
        <v>356</v>
      </c>
      <c r="C18" s="16" t="s">
        <v>103</v>
      </c>
      <c r="D18" s="26">
        <v>45550</v>
      </c>
      <c r="E18" s="16" t="s">
        <v>103</v>
      </c>
      <c r="F18" s="16" t="s">
        <v>103</v>
      </c>
      <c r="G18" s="24" t="s">
        <v>52</v>
      </c>
      <c r="H18" s="16" t="s">
        <v>457</v>
      </c>
      <c r="I18" s="24" t="s">
        <v>54</v>
      </c>
      <c r="J18" s="16" t="s">
        <v>458</v>
      </c>
      <c r="K18" s="16" t="s">
        <v>459</v>
      </c>
      <c r="L18" s="24" t="s">
        <v>75</v>
      </c>
      <c r="M18" s="17">
        <f>VLOOKUP(RiskRegister[[#This Row],[Inherent Impact Level]],'Rating factors'!$F$4:$G$9,2,FALSE)</f>
        <v>5</v>
      </c>
      <c r="N18" s="24" t="s">
        <v>63</v>
      </c>
      <c r="O18" s="17">
        <f>VLOOKUP(RiskRegister[[#This Row],[Inherent Likelihood Level]],'Rating factors'!$F$16:$G$21,2,FALSE)</f>
        <v>5</v>
      </c>
      <c r="P18" s="25" t="str">
        <f>IFERROR(VLOOKUP(RiskRegister[[#This Row],[Inherent Risk Rating]],'Rating factors'!$F$30:$G$44,2,FALSE),"-- Error --")</f>
        <v>High</v>
      </c>
      <c r="Q18" s="17">
        <f>IFERROR(RiskRegister[[#This Row],[Inherent Impact Rating]]*RiskRegister[[#This Row],[Inherent Likelihood Rating]],"-- Error --")</f>
        <v>25</v>
      </c>
      <c r="R18" s="24" t="s">
        <v>23</v>
      </c>
      <c r="S18" s="16" t="s">
        <v>460</v>
      </c>
      <c r="T18" s="24" t="s">
        <v>14</v>
      </c>
      <c r="U18" s="17">
        <f>VLOOKUP(RiskRegister[[#This Row],[Residual Impact Level]],'Rating factors'!$F$4:$G$9,2,FALSE)</f>
        <v>2</v>
      </c>
      <c r="V18" s="24" t="s">
        <v>9</v>
      </c>
      <c r="W18" s="17">
        <f>VLOOKUP(RiskRegister[[#This Row],[Residual Likelihood Level]],'Rating factors'!$F$16:$G$21,2,FALSE)</f>
        <v>4</v>
      </c>
      <c r="X18" s="25" t="str">
        <f>IFERROR(VLOOKUP(RiskRegister[[#This Row],[Residual Risk Rating]],'Rating factors'!$F$30:$G$44,2,FALSE),"-- Error --")</f>
        <v>Medium</v>
      </c>
      <c r="Y18" s="17">
        <f>IFERROR(RiskRegister[[#This Row],[Residual Impact Rating]]*RiskRegister[[#This Row],[Residual Likelihood Rating]],"-- Error --")</f>
        <v>8</v>
      </c>
      <c r="Z18" s="24" t="s">
        <v>115</v>
      </c>
      <c r="AA18" s="16" t="s">
        <v>461</v>
      </c>
      <c r="AB18" s="56">
        <v>45449</v>
      </c>
      <c r="AD18" s="20" t="str">
        <f ca="1">IF(ISBLANK(RiskRegister[[#This Row],[Risk Due Date]]), "Missing Risk Due Date", IF(RiskRegister[[#This Row],[Risk Due Date]] &lt; TODAY(), "Overdue", "Not Overdue"))</f>
        <v>Overdue</v>
      </c>
      <c r="AE18" s="177">
        <v>45565</v>
      </c>
      <c r="AF18" s="20" t="str">
        <f>IF(ISBLANK(RiskRegister[[#This Row],[Risk Due Date]]), "Missing Risk Due Date", TEXT(RiskRegister[[#This Row],[Risk Due Date]], "YYYY-MM"))</f>
        <v>2024-06</v>
      </c>
      <c r="AG18" s="20" t="str">
        <f>IF(RiskRegister[[#This Row],[Created Date]]="","Created Date missing",(TEXT(RiskRegister[[#This Row],[Created Date]],"mmm") &amp; "-" &amp; YEAR(RiskRegister[[#This Row],[Created Date]])))</f>
        <v>Sep-2024</v>
      </c>
      <c r="AH18" s="74">
        <f>IF(RiskRegister[[#This Row],[Risk Status]]="Closed",RiskRegister[[#This Row],[Risk Close Date]],RiskRegister[[#This Row],[Risk Due Date]])</f>
        <v>45449</v>
      </c>
      <c r="AI18" s="74">
        <f>IF(RiskRegister[[#This Row],[Risk-Change-Date]]=0,DATE(2030,1,1),RiskRegister[[#This Row],[Risk-Change-Date]])</f>
        <v>45449</v>
      </c>
      <c r="AJ18" s="20" t="str">
        <f>RiskRegister[[#This Row],[Inherent Impact Level]]&amp;"-"&amp;RiskRegister[[#This Row],[Inherent Likelihood Level]]</f>
        <v>Very High-Highly Likely</v>
      </c>
      <c r="AK18" s="20" t="str">
        <f>RiskRegister[[#This Row],[Residual Impact Level]]&amp;"-"&amp;RiskRegister[[#This Row],[Residual Likelihood Level]]</f>
        <v>Low-Likely</v>
      </c>
      <c r="AL18" s="20" t="str">
        <f t="shared" si="0"/>
        <v>No</v>
      </c>
      <c r="AM18" s="20" t="str">
        <f>IF(RiskRegister[[#This Row],[Risk Status]]="Closed",RiskRegister[[#This Row],[Residual Impact Level]],RiskRegister[[#This Row],[Inherent Impact Level]])</f>
        <v>Very High</v>
      </c>
      <c r="AN18" s="20" t="str">
        <f>IF(RiskRegister[[#This Row],[Risk Status]]="Closed",RiskRegister[[#This Row],[Residual Likelihood Level]],RiskRegister[[#This Row],[Inherent Likelihood Level]])</f>
        <v>Highly Likely</v>
      </c>
      <c r="AO18" s="20" t="str">
        <f>IF(RiskRegister[[#This Row],[Risk Status]]="Closed",RiskRegister[[#This Row],[Residual-I-L-Combo]],RiskRegister[[#This Row],[Inherent-I-L-Combo]])</f>
        <v>Very High-Highly Likely</v>
      </c>
      <c r="AP18" s="20" t="str">
        <f t="shared" si="1"/>
        <v>High</v>
      </c>
    </row>
    <row r="19" spans="1:42" s="16" customFormat="1" ht="30" x14ac:dyDescent="0.25">
      <c r="A19" s="24">
        <v>16</v>
      </c>
      <c r="B19" s="16" t="s">
        <v>357</v>
      </c>
      <c r="C19" s="16" t="s">
        <v>104</v>
      </c>
      <c r="D19" s="26">
        <v>45398</v>
      </c>
      <c r="E19" s="16" t="s">
        <v>104</v>
      </c>
      <c r="F19" s="16" t="s">
        <v>104</v>
      </c>
      <c r="G19" s="24" t="s">
        <v>50</v>
      </c>
      <c r="H19" s="16" t="s">
        <v>462</v>
      </c>
      <c r="I19" s="24" t="s">
        <v>57</v>
      </c>
      <c r="J19" s="16" t="s">
        <v>394</v>
      </c>
      <c r="K19" s="16" t="s">
        <v>463</v>
      </c>
      <c r="L19" s="24" t="s">
        <v>74</v>
      </c>
      <c r="M19" s="17">
        <f>VLOOKUP(RiskRegister[[#This Row],[Inherent Impact Level]],'Rating factors'!$F$4:$G$9,2,FALSE)</f>
        <v>1</v>
      </c>
      <c r="N19" s="24" t="s">
        <v>63</v>
      </c>
      <c r="O19" s="17">
        <f>VLOOKUP(RiskRegister[[#This Row],[Inherent Likelihood Level]],'Rating factors'!$F$16:$G$21,2,FALSE)</f>
        <v>5</v>
      </c>
      <c r="P19" s="25" t="str">
        <f>IFERROR(VLOOKUP(RiskRegister[[#This Row],[Inherent Risk Rating]],'Rating factors'!$F$30:$G$44,2,FALSE),"-- Error --")</f>
        <v>Medium</v>
      </c>
      <c r="Q19" s="17">
        <f>IFERROR(RiskRegister[[#This Row],[Inherent Impact Rating]]*RiskRegister[[#This Row],[Inherent Likelihood Rating]],"-- Error --")</f>
        <v>5</v>
      </c>
      <c r="R19" s="24" t="s">
        <v>23</v>
      </c>
      <c r="S19" s="16" t="s">
        <v>464</v>
      </c>
      <c r="T19" s="24" t="s">
        <v>74</v>
      </c>
      <c r="U19" s="17">
        <f>VLOOKUP(RiskRegister[[#This Row],[Residual Impact Level]],'Rating factors'!$F$4:$G$9,2,FALSE)</f>
        <v>1</v>
      </c>
      <c r="V19" s="24" t="s">
        <v>10</v>
      </c>
      <c r="W19" s="17">
        <f>VLOOKUP(RiskRegister[[#This Row],[Residual Likelihood Level]],'Rating factors'!$F$16:$G$21,2,FALSE)</f>
        <v>2</v>
      </c>
      <c r="X19" s="25" t="str">
        <f>IFERROR(VLOOKUP(RiskRegister[[#This Row],[Residual Risk Rating]],'Rating factors'!$F$30:$G$44,2,FALSE),"-- Error --")</f>
        <v>Low</v>
      </c>
      <c r="Y19" s="17">
        <f>IFERROR(RiskRegister[[#This Row],[Residual Impact Rating]]*RiskRegister[[#This Row],[Residual Likelihood Rating]],"-- Error --")</f>
        <v>2</v>
      </c>
      <c r="Z19" s="24" t="s">
        <v>115</v>
      </c>
      <c r="AA19" s="16" t="s">
        <v>465</v>
      </c>
      <c r="AB19" s="56">
        <v>45638</v>
      </c>
      <c r="AD19" s="20" t="str">
        <f ca="1">IF(ISBLANK(RiskRegister[[#This Row],[Risk Due Date]]), "Missing Risk Due Date", IF(RiskRegister[[#This Row],[Risk Due Date]] &lt; TODAY(), "Overdue", "Not Overdue"))</f>
        <v>Overdue</v>
      </c>
      <c r="AE19" s="177">
        <v>45657</v>
      </c>
      <c r="AF19" s="20" t="str">
        <f>IF(ISBLANK(RiskRegister[[#This Row],[Risk Due Date]]), "Missing Risk Due Date", TEXT(RiskRegister[[#This Row],[Risk Due Date]], "YYYY-MM"))</f>
        <v>2024-12</v>
      </c>
      <c r="AG19" s="20" t="str">
        <f>IF(RiskRegister[[#This Row],[Created Date]]="","Created Date missing",(TEXT(RiskRegister[[#This Row],[Created Date]],"mmm") &amp; "-" &amp; YEAR(RiskRegister[[#This Row],[Created Date]])))</f>
        <v>Apr-2024</v>
      </c>
      <c r="AH19" s="74">
        <f>IF(RiskRegister[[#This Row],[Risk Status]]="Closed",RiskRegister[[#This Row],[Risk Close Date]],RiskRegister[[#This Row],[Risk Due Date]])</f>
        <v>45638</v>
      </c>
      <c r="AI19" s="74">
        <f>IF(RiskRegister[[#This Row],[Risk-Change-Date]]=0,DATE(2030,1,1),RiskRegister[[#This Row],[Risk-Change-Date]])</f>
        <v>45638</v>
      </c>
      <c r="AJ19" s="20" t="str">
        <f>RiskRegister[[#This Row],[Inherent Impact Level]]&amp;"-"&amp;RiskRegister[[#This Row],[Inherent Likelihood Level]]</f>
        <v>Very Low-Highly Likely</v>
      </c>
      <c r="AK19" s="20" t="str">
        <f>RiskRegister[[#This Row],[Residual Impact Level]]&amp;"-"&amp;RiskRegister[[#This Row],[Residual Likelihood Level]]</f>
        <v>Very Low-Unlikely</v>
      </c>
      <c r="AL19" s="20" t="str">
        <f t="shared" si="0"/>
        <v>No</v>
      </c>
      <c r="AM19" s="20" t="str">
        <f>IF(RiskRegister[[#This Row],[Risk Status]]="Closed",RiskRegister[[#This Row],[Residual Impact Level]],RiskRegister[[#This Row],[Inherent Impact Level]])</f>
        <v>Very Low</v>
      </c>
      <c r="AN19" s="20" t="str">
        <f>IF(RiskRegister[[#This Row],[Risk Status]]="Closed",RiskRegister[[#This Row],[Residual Likelihood Level]],RiskRegister[[#This Row],[Inherent Likelihood Level]])</f>
        <v>Highly Likely</v>
      </c>
      <c r="AO19" s="20" t="str">
        <f>IF(RiskRegister[[#This Row],[Risk Status]]="Closed",RiskRegister[[#This Row],[Residual-I-L-Combo]],RiskRegister[[#This Row],[Inherent-I-L-Combo]])</f>
        <v>Very Low-Highly Likely</v>
      </c>
      <c r="AP19" s="20" t="str">
        <f t="shared" si="1"/>
        <v>Medium</v>
      </c>
    </row>
    <row r="20" spans="1:42" s="16" customFormat="1" ht="30" x14ac:dyDescent="0.25">
      <c r="A20" s="24">
        <v>17</v>
      </c>
      <c r="B20" s="16" t="s">
        <v>358</v>
      </c>
      <c r="C20" s="16" t="s">
        <v>105</v>
      </c>
      <c r="D20" s="26">
        <v>45399</v>
      </c>
      <c r="E20" s="16" t="s">
        <v>105</v>
      </c>
      <c r="F20" s="16" t="s">
        <v>105</v>
      </c>
      <c r="G20" s="24" t="s">
        <v>51</v>
      </c>
      <c r="H20" s="16" t="s">
        <v>466</v>
      </c>
      <c r="I20" s="24" t="s">
        <v>502</v>
      </c>
      <c r="J20" s="16" t="s">
        <v>394</v>
      </c>
      <c r="K20" s="16" t="s">
        <v>467</v>
      </c>
      <c r="L20" s="24" t="s">
        <v>14</v>
      </c>
      <c r="M20" s="17">
        <f>VLOOKUP(RiskRegister[[#This Row],[Inherent Impact Level]],'Rating factors'!$F$4:$G$9,2,FALSE)</f>
        <v>2</v>
      </c>
      <c r="N20" s="24" t="s">
        <v>63</v>
      </c>
      <c r="O20" s="17">
        <f>VLOOKUP(RiskRegister[[#This Row],[Inherent Likelihood Level]],'Rating factors'!$F$16:$G$21,2,FALSE)</f>
        <v>5</v>
      </c>
      <c r="P20" s="25" t="str">
        <f>IFERROR(VLOOKUP(RiskRegister[[#This Row],[Inherent Risk Rating]],'Rating factors'!$F$30:$G$44,2,FALSE),"-- Error --")</f>
        <v>Medium</v>
      </c>
      <c r="Q20" s="17">
        <f>IFERROR(RiskRegister[[#This Row],[Inherent Impact Rating]]*RiskRegister[[#This Row],[Inherent Likelihood Rating]],"-- Error --")</f>
        <v>10</v>
      </c>
      <c r="R20" s="24" t="s">
        <v>23</v>
      </c>
      <c r="S20" s="16" t="s">
        <v>468</v>
      </c>
      <c r="T20" s="24" t="s">
        <v>14</v>
      </c>
      <c r="U20" s="17">
        <f>VLOOKUP(RiskRegister[[#This Row],[Residual Impact Level]],'Rating factors'!$F$4:$G$9,2,FALSE)</f>
        <v>2</v>
      </c>
      <c r="V20" s="24" t="s">
        <v>9</v>
      </c>
      <c r="W20" s="17">
        <f>VLOOKUP(RiskRegister[[#This Row],[Residual Likelihood Level]],'Rating factors'!$F$16:$G$21,2,FALSE)</f>
        <v>4</v>
      </c>
      <c r="X20" s="25" t="str">
        <f>IFERROR(VLOOKUP(RiskRegister[[#This Row],[Residual Risk Rating]],'Rating factors'!$F$30:$G$44,2,FALSE),"-- Error --")</f>
        <v>Medium</v>
      </c>
      <c r="Y20" s="17">
        <f>IFERROR(RiskRegister[[#This Row],[Residual Impact Rating]]*RiskRegister[[#This Row],[Residual Likelihood Rating]],"-- Error --")</f>
        <v>8</v>
      </c>
      <c r="Z20" s="24" t="s">
        <v>115</v>
      </c>
      <c r="AA20" s="16" t="s">
        <v>416</v>
      </c>
      <c r="AB20" s="56">
        <v>45393</v>
      </c>
      <c r="AD20" s="20" t="str">
        <f ca="1">IF(ISBLANK(RiskRegister[[#This Row],[Risk Due Date]]), "Missing Risk Due Date", IF(RiskRegister[[#This Row],[Risk Due Date]] &lt; TODAY(), "Overdue", "Not Overdue"))</f>
        <v>Overdue</v>
      </c>
      <c r="AE20" s="177">
        <v>45473</v>
      </c>
      <c r="AF20" s="20" t="str">
        <f>IF(ISBLANK(RiskRegister[[#This Row],[Risk Due Date]]), "Missing Risk Due Date", TEXT(RiskRegister[[#This Row],[Risk Due Date]], "YYYY-MM"))</f>
        <v>2024-04</v>
      </c>
      <c r="AG20" s="20" t="str">
        <f>IF(RiskRegister[[#This Row],[Created Date]]="","Created Date missing",(TEXT(RiskRegister[[#This Row],[Created Date]],"mmm") &amp; "-" &amp; YEAR(RiskRegister[[#This Row],[Created Date]])))</f>
        <v>Apr-2024</v>
      </c>
      <c r="AH20" s="74">
        <f>IF(RiskRegister[[#This Row],[Risk Status]]="Closed",RiskRegister[[#This Row],[Risk Close Date]],RiskRegister[[#This Row],[Risk Due Date]])</f>
        <v>45393</v>
      </c>
      <c r="AI20" s="74">
        <f>IF(RiskRegister[[#This Row],[Risk-Change-Date]]=0,DATE(2030,1,1),RiskRegister[[#This Row],[Risk-Change-Date]])</f>
        <v>45393</v>
      </c>
      <c r="AJ20" s="20" t="str">
        <f>RiskRegister[[#This Row],[Inherent Impact Level]]&amp;"-"&amp;RiskRegister[[#This Row],[Inherent Likelihood Level]]</f>
        <v>Low-Highly Likely</v>
      </c>
      <c r="AK20" s="20" t="str">
        <f>RiskRegister[[#This Row],[Residual Impact Level]]&amp;"-"&amp;RiskRegister[[#This Row],[Residual Likelihood Level]]</f>
        <v>Low-Likely</v>
      </c>
      <c r="AL20" s="20" t="str">
        <f t="shared" si="0"/>
        <v>No</v>
      </c>
      <c r="AM20" s="20" t="str">
        <f>IF(RiskRegister[[#This Row],[Risk Status]]="Closed",RiskRegister[[#This Row],[Residual Impact Level]],RiskRegister[[#This Row],[Inherent Impact Level]])</f>
        <v>Low</v>
      </c>
      <c r="AN20" s="20" t="str">
        <f>IF(RiskRegister[[#This Row],[Risk Status]]="Closed",RiskRegister[[#This Row],[Residual Likelihood Level]],RiskRegister[[#This Row],[Inherent Likelihood Level]])</f>
        <v>Highly Likely</v>
      </c>
      <c r="AO20" s="20" t="str">
        <f>IF(RiskRegister[[#This Row],[Risk Status]]="Closed",RiskRegister[[#This Row],[Residual-I-L-Combo]],RiskRegister[[#This Row],[Inherent-I-L-Combo]])</f>
        <v>Low-Highly Likely</v>
      </c>
      <c r="AP20" s="20" t="str">
        <f t="shared" si="1"/>
        <v>Medium</v>
      </c>
    </row>
    <row r="21" spans="1:42" s="16" customFormat="1" ht="30" x14ac:dyDescent="0.25">
      <c r="A21" s="24">
        <v>18</v>
      </c>
      <c r="B21" s="16" t="s">
        <v>359</v>
      </c>
      <c r="C21" s="16" t="s">
        <v>106</v>
      </c>
      <c r="D21" s="26">
        <v>45400</v>
      </c>
      <c r="E21" s="16" t="s">
        <v>106</v>
      </c>
      <c r="F21" s="16" t="s">
        <v>106</v>
      </c>
      <c r="G21" s="24" t="s">
        <v>49</v>
      </c>
      <c r="H21" s="16" t="s">
        <v>469</v>
      </c>
      <c r="I21" s="24" t="s">
        <v>57</v>
      </c>
      <c r="J21" s="16" t="s">
        <v>413</v>
      </c>
      <c r="K21" s="16" t="s">
        <v>470</v>
      </c>
      <c r="L21" s="24" t="s">
        <v>8</v>
      </c>
      <c r="M21" s="17">
        <f>VLOOKUP(RiskRegister[[#This Row],[Inherent Impact Level]],'Rating factors'!$F$4:$G$9,2,FALSE)</f>
        <v>3</v>
      </c>
      <c r="N21" s="24" t="s">
        <v>63</v>
      </c>
      <c r="O21" s="17">
        <f>VLOOKUP(RiskRegister[[#This Row],[Inherent Likelihood Level]],'Rating factors'!$F$16:$G$21,2,FALSE)</f>
        <v>5</v>
      </c>
      <c r="P21" s="25" t="str">
        <f>IFERROR(VLOOKUP(RiskRegister[[#This Row],[Inherent Risk Rating]],'Rating factors'!$F$30:$G$44,2,FALSE),"-- Error --")</f>
        <v>Medium</v>
      </c>
      <c r="Q21" s="17">
        <f>IFERROR(RiskRegister[[#This Row],[Inherent Impact Rating]]*RiskRegister[[#This Row],[Inherent Likelihood Rating]],"-- Error --")</f>
        <v>15</v>
      </c>
      <c r="R21" s="24" t="s">
        <v>23</v>
      </c>
      <c r="S21" s="16" t="s">
        <v>471</v>
      </c>
      <c r="T21" s="24" t="s">
        <v>8</v>
      </c>
      <c r="U21" s="17">
        <f>VLOOKUP(RiskRegister[[#This Row],[Residual Impact Level]],'Rating factors'!$F$4:$G$9,2,FALSE)</f>
        <v>3</v>
      </c>
      <c r="V21" s="24" t="s">
        <v>10</v>
      </c>
      <c r="W21" s="17">
        <f>VLOOKUP(RiskRegister[[#This Row],[Residual Likelihood Level]],'Rating factors'!$F$16:$G$21,2,FALSE)</f>
        <v>2</v>
      </c>
      <c r="X21" s="25" t="str">
        <f>IFERROR(VLOOKUP(RiskRegister[[#This Row],[Residual Risk Rating]],'Rating factors'!$F$30:$G$44,2,FALSE),"-- Error --")</f>
        <v>Medium</v>
      </c>
      <c r="Y21" s="17">
        <f>IFERROR(RiskRegister[[#This Row],[Residual Impact Rating]]*RiskRegister[[#This Row],[Residual Likelihood Rating]],"-- Error --")</f>
        <v>6</v>
      </c>
      <c r="Z21" s="24" t="s">
        <v>115</v>
      </c>
      <c r="AA21" s="16" t="s">
        <v>472</v>
      </c>
      <c r="AB21" s="56">
        <v>45279</v>
      </c>
      <c r="AD21" s="20" t="str">
        <f ca="1">IF(ISBLANK(RiskRegister[[#This Row],[Risk Due Date]]), "Missing Risk Due Date", IF(RiskRegister[[#This Row],[Risk Due Date]] &lt; TODAY(), "Overdue", "Not Overdue"))</f>
        <v>Overdue</v>
      </c>
      <c r="AE21" s="177">
        <v>45473</v>
      </c>
      <c r="AF21" s="20" t="str">
        <f>IF(ISBLANK(RiskRegister[[#This Row],[Risk Due Date]]), "Missing Risk Due Date", TEXT(RiskRegister[[#This Row],[Risk Due Date]], "YYYY-MM"))</f>
        <v>2023-12</v>
      </c>
      <c r="AG21" s="20" t="str">
        <f>IF(RiskRegister[[#This Row],[Created Date]]="","Created Date missing",(TEXT(RiskRegister[[#This Row],[Created Date]],"mmm") &amp; "-" &amp; YEAR(RiskRegister[[#This Row],[Created Date]])))</f>
        <v>Apr-2024</v>
      </c>
      <c r="AH21" s="74">
        <f>IF(RiskRegister[[#This Row],[Risk Status]]="Closed",RiskRegister[[#This Row],[Risk Close Date]],RiskRegister[[#This Row],[Risk Due Date]])</f>
        <v>45279</v>
      </c>
      <c r="AI21" s="74">
        <f>IF(RiskRegister[[#This Row],[Risk-Change-Date]]=0,DATE(2030,1,1),RiskRegister[[#This Row],[Risk-Change-Date]])</f>
        <v>45279</v>
      </c>
      <c r="AJ21" s="20" t="str">
        <f>RiskRegister[[#This Row],[Inherent Impact Level]]&amp;"-"&amp;RiskRegister[[#This Row],[Inherent Likelihood Level]]</f>
        <v>Moderate-Highly Likely</v>
      </c>
      <c r="AK21" s="20" t="str">
        <f>RiskRegister[[#This Row],[Residual Impact Level]]&amp;"-"&amp;RiskRegister[[#This Row],[Residual Likelihood Level]]</f>
        <v>Moderate-Unlikely</v>
      </c>
      <c r="AL21" s="20" t="str">
        <f t="shared" si="0"/>
        <v>No</v>
      </c>
      <c r="AM21" s="20" t="str">
        <f>IF(RiskRegister[[#This Row],[Risk Status]]="Closed",RiskRegister[[#This Row],[Residual Impact Level]],RiskRegister[[#This Row],[Inherent Impact Level]])</f>
        <v>Moderate</v>
      </c>
      <c r="AN21" s="20" t="str">
        <f>IF(RiskRegister[[#This Row],[Risk Status]]="Closed",RiskRegister[[#This Row],[Residual Likelihood Level]],RiskRegister[[#This Row],[Inherent Likelihood Level]])</f>
        <v>Highly Likely</v>
      </c>
      <c r="AO21" s="20" t="str">
        <f>IF(RiskRegister[[#This Row],[Risk Status]]="Closed",RiskRegister[[#This Row],[Residual-I-L-Combo]],RiskRegister[[#This Row],[Inherent-I-L-Combo]])</f>
        <v>Moderate-Highly Likely</v>
      </c>
      <c r="AP21" s="20" t="str">
        <f t="shared" si="1"/>
        <v>Medium</v>
      </c>
    </row>
    <row r="22" spans="1:42" s="16" customFormat="1" ht="30" x14ac:dyDescent="0.25">
      <c r="A22" s="24">
        <v>19</v>
      </c>
      <c r="B22" s="16" t="s">
        <v>360</v>
      </c>
      <c r="C22" s="16" t="s">
        <v>107</v>
      </c>
      <c r="D22" s="26">
        <v>45401</v>
      </c>
      <c r="E22" s="16" t="s">
        <v>107</v>
      </c>
      <c r="F22" s="16" t="s">
        <v>107</v>
      </c>
      <c r="G22" s="24" t="s">
        <v>49</v>
      </c>
      <c r="H22" s="16" t="s">
        <v>473</v>
      </c>
      <c r="I22" s="24" t="s">
        <v>57</v>
      </c>
      <c r="J22" s="16" t="s">
        <v>413</v>
      </c>
      <c r="K22" s="16" t="s">
        <v>474</v>
      </c>
      <c r="L22" s="24" t="s">
        <v>12</v>
      </c>
      <c r="M22" s="17">
        <f>VLOOKUP(RiskRegister[[#This Row],[Inherent Impact Level]],'Rating factors'!$F$4:$G$9,2,FALSE)</f>
        <v>4</v>
      </c>
      <c r="N22" s="24" t="s">
        <v>63</v>
      </c>
      <c r="O22" s="17">
        <f>VLOOKUP(RiskRegister[[#This Row],[Inherent Likelihood Level]],'Rating factors'!$F$16:$G$21,2,FALSE)</f>
        <v>5</v>
      </c>
      <c r="P22" s="25" t="str">
        <f>IFERROR(VLOOKUP(RiskRegister[[#This Row],[Inherent Risk Rating]],'Rating factors'!$F$30:$G$44,2,FALSE),"-- Error --")</f>
        <v>High</v>
      </c>
      <c r="Q22" s="17">
        <f>IFERROR(RiskRegister[[#This Row],[Inherent Impact Rating]]*RiskRegister[[#This Row],[Inherent Likelihood Rating]],"-- Error --")</f>
        <v>20</v>
      </c>
      <c r="R22" s="24" t="s">
        <v>23</v>
      </c>
      <c r="S22" s="16" t="s">
        <v>475</v>
      </c>
      <c r="T22" s="24" t="s">
        <v>74</v>
      </c>
      <c r="U22" s="17">
        <f>VLOOKUP(RiskRegister[[#This Row],[Residual Impact Level]],'Rating factors'!$F$4:$G$9,2,FALSE)</f>
        <v>1</v>
      </c>
      <c r="V22" s="24" t="s">
        <v>9</v>
      </c>
      <c r="W22" s="17">
        <f>VLOOKUP(RiskRegister[[#This Row],[Residual Likelihood Level]],'Rating factors'!$F$16:$G$21,2,FALSE)</f>
        <v>4</v>
      </c>
      <c r="X22" s="25" t="str">
        <f>IFERROR(VLOOKUP(RiskRegister[[#This Row],[Residual Risk Rating]],'Rating factors'!$F$30:$G$44,2,FALSE),"-- Error --")</f>
        <v>Low</v>
      </c>
      <c r="Y22" s="17">
        <f>IFERROR(RiskRegister[[#This Row],[Residual Impact Rating]]*RiskRegister[[#This Row],[Residual Likelihood Rating]],"-- Error --")</f>
        <v>4</v>
      </c>
      <c r="Z22" s="24" t="s">
        <v>115</v>
      </c>
      <c r="AA22" s="16" t="s">
        <v>476</v>
      </c>
      <c r="AB22" s="56">
        <v>45272</v>
      </c>
      <c r="AD22" s="20" t="str">
        <f ca="1">IF(ISBLANK(RiskRegister[[#This Row],[Risk Due Date]]), "Missing Risk Due Date", IF(RiskRegister[[#This Row],[Risk Due Date]] &lt; TODAY(), "Overdue", "Not Overdue"))</f>
        <v>Overdue</v>
      </c>
      <c r="AE22" s="177">
        <v>45473</v>
      </c>
      <c r="AF22" s="20" t="str">
        <f>IF(ISBLANK(RiskRegister[[#This Row],[Risk Due Date]]), "Missing Risk Due Date", TEXT(RiskRegister[[#This Row],[Risk Due Date]], "YYYY-MM"))</f>
        <v>2023-12</v>
      </c>
      <c r="AG22" s="20" t="str">
        <f>IF(RiskRegister[[#This Row],[Created Date]]="","Created Date missing",(TEXT(RiskRegister[[#This Row],[Created Date]],"mmm") &amp; "-" &amp; YEAR(RiskRegister[[#This Row],[Created Date]])))</f>
        <v>Apr-2024</v>
      </c>
      <c r="AH22" s="74">
        <f>IF(RiskRegister[[#This Row],[Risk Status]]="Closed",RiskRegister[[#This Row],[Risk Close Date]],RiskRegister[[#This Row],[Risk Due Date]])</f>
        <v>45272</v>
      </c>
      <c r="AI22" s="74">
        <f>IF(RiskRegister[[#This Row],[Risk-Change-Date]]=0,DATE(2030,1,1),RiskRegister[[#This Row],[Risk-Change-Date]])</f>
        <v>45272</v>
      </c>
      <c r="AJ22" s="20" t="str">
        <f>RiskRegister[[#This Row],[Inherent Impact Level]]&amp;"-"&amp;RiskRegister[[#This Row],[Inherent Likelihood Level]]</f>
        <v>High-Highly Likely</v>
      </c>
      <c r="AK22" s="20" t="str">
        <f>RiskRegister[[#This Row],[Residual Impact Level]]&amp;"-"&amp;RiskRegister[[#This Row],[Residual Likelihood Level]]</f>
        <v>Very Low-Likely</v>
      </c>
      <c r="AL22" s="20" t="str">
        <f t="shared" si="0"/>
        <v>No</v>
      </c>
      <c r="AM22" s="20" t="str">
        <f>IF(RiskRegister[[#This Row],[Risk Status]]="Closed",RiskRegister[[#This Row],[Residual Impact Level]],RiskRegister[[#This Row],[Inherent Impact Level]])</f>
        <v>High</v>
      </c>
      <c r="AN22" s="20" t="str">
        <f>IF(RiskRegister[[#This Row],[Risk Status]]="Closed",RiskRegister[[#This Row],[Residual Likelihood Level]],RiskRegister[[#This Row],[Inherent Likelihood Level]])</f>
        <v>Highly Likely</v>
      </c>
      <c r="AO22" s="20" t="str">
        <f>IF(RiskRegister[[#This Row],[Risk Status]]="Closed",RiskRegister[[#This Row],[Residual-I-L-Combo]],RiskRegister[[#This Row],[Inherent-I-L-Combo]])</f>
        <v>High-Highly Likely</v>
      </c>
      <c r="AP22" s="20" t="str">
        <f t="shared" si="1"/>
        <v>High</v>
      </c>
    </row>
    <row r="23" spans="1:42" s="16" customFormat="1" ht="30" x14ac:dyDescent="0.25">
      <c r="A23" s="24">
        <v>20</v>
      </c>
      <c r="B23" s="16" t="s">
        <v>361</v>
      </c>
      <c r="C23" s="16" t="s">
        <v>108</v>
      </c>
      <c r="D23" s="26">
        <v>45646</v>
      </c>
      <c r="E23" s="16" t="s">
        <v>108</v>
      </c>
      <c r="F23" s="16" t="s">
        <v>108</v>
      </c>
      <c r="G23" s="24" t="s">
        <v>49</v>
      </c>
      <c r="H23" s="16" t="s">
        <v>477</v>
      </c>
      <c r="I23" s="24" t="s">
        <v>508</v>
      </c>
      <c r="J23" s="16" t="s">
        <v>478</v>
      </c>
      <c r="K23" s="16" t="s">
        <v>479</v>
      </c>
      <c r="L23" s="24" t="s">
        <v>75</v>
      </c>
      <c r="M23" s="17">
        <f>VLOOKUP(RiskRegister[[#This Row],[Inherent Impact Level]],'Rating factors'!$F$4:$G$9,2,FALSE)</f>
        <v>5</v>
      </c>
      <c r="N23" s="24" t="s">
        <v>63</v>
      </c>
      <c r="O23" s="17">
        <f>VLOOKUP(RiskRegister[[#This Row],[Inherent Likelihood Level]],'Rating factors'!$F$16:$G$21,2,FALSE)</f>
        <v>5</v>
      </c>
      <c r="P23" s="25" t="str">
        <f>IFERROR(VLOOKUP(RiskRegister[[#This Row],[Inherent Risk Rating]],'Rating factors'!$F$30:$G$44,2,FALSE),"-- Error --")</f>
        <v>High</v>
      </c>
      <c r="Q23" s="17">
        <f>IFERROR(RiskRegister[[#This Row],[Inherent Impact Rating]]*RiskRegister[[#This Row],[Inherent Likelihood Rating]],"-- Error --")</f>
        <v>25</v>
      </c>
      <c r="R23" s="24" t="s">
        <v>16</v>
      </c>
      <c r="S23" s="16" t="s">
        <v>480</v>
      </c>
      <c r="T23" s="24" t="s">
        <v>75</v>
      </c>
      <c r="U23" s="17">
        <f>VLOOKUP(RiskRegister[[#This Row],[Residual Impact Level]],'Rating factors'!$F$4:$G$9,2,FALSE)</f>
        <v>5</v>
      </c>
      <c r="V23" s="24" t="s">
        <v>63</v>
      </c>
      <c r="W23" s="17">
        <f>VLOOKUP(RiskRegister[[#This Row],[Residual Likelihood Level]],'Rating factors'!$F$16:$G$21,2,FALSE)</f>
        <v>5</v>
      </c>
      <c r="X23" s="25" t="str">
        <f>IFERROR(VLOOKUP(RiskRegister[[#This Row],[Residual Risk Rating]],'Rating factors'!$F$30:$G$44,2,FALSE),"-- Error --")</f>
        <v>High</v>
      </c>
      <c r="Y23" s="17">
        <f>IFERROR(RiskRegister[[#This Row],[Residual Impact Rating]]*RiskRegister[[#This Row],[Residual Likelihood Rating]],"-- Error --")</f>
        <v>25</v>
      </c>
      <c r="Z23" s="24" t="s">
        <v>19</v>
      </c>
      <c r="AA23" s="16" t="s">
        <v>481</v>
      </c>
      <c r="AB23" s="56"/>
      <c r="AC23" s="177">
        <v>45474</v>
      </c>
      <c r="AD23" s="20" t="str">
        <f ca="1">IF(ISBLANK(RiskRegister[[#This Row],[Risk Due Date]]), "Missing Risk Due Date", IF(RiskRegister[[#This Row],[Risk Due Date]] &lt; TODAY(), "Overdue", "Not Overdue"))</f>
        <v>Missing Risk Due Date</v>
      </c>
      <c r="AE23" s="177">
        <v>45657</v>
      </c>
      <c r="AF23" s="20" t="str">
        <f>IF(ISBLANK(RiskRegister[[#This Row],[Risk Due Date]]), "Missing Risk Due Date", TEXT(RiskRegister[[#This Row],[Risk Due Date]], "YYYY-MM"))</f>
        <v>Missing Risk Due Date</v>
      </c>
      <c r="AG23" s="20" t="str">
        <f>IF(RiskRegister[[#This Row],[Created Date]]="","Created Date missing",(TEXT(RiskRegister[[#This Row],[Created Date]],"mmm") &amp; "-" &amp; YEAR(RiskRegister[[#This Row],[Created Date]])))</f>
        <v>Dec-2024</v>
      </c>
      <c r="AH23" s="74">
        <f>IF(RiskRegister[[#This Row],[Risk Status]]="Closed",RiskRegister[[#This Row],[Risk Close Date]],RiskRegister[[#This Row],[Risk Due Date]])</f>
        <v>45474</v>
      </c>
      <c r="AI23" s="74">
        <f>IF(RiskRegister[[#This Row],[Risk-Change-Date]]=0,DATE(2030,1,1),RiskRegister[[#This Row],[Risk-Change-Date]])</f>
        <v>45474</v>
      </c>
      <c r="AJ23" s="20" t="str">
        <f>RiskRegister[[#This Row],[Inherent Impact Level]]&amp;"-"&amp;RiskRegister[[#This Row],[Inherent Likelihood Level]]</f>
        <v>Very High-Highly Likely</v>
      </c>
      <c r="AK23" s="20" t="str">
        <f>RiskRegister[[#This Row],[Residual Impact Level]]&amp;"-"&amp;RiskRegister[[#This Row],[Residual Likelihood Level]]</f>
        <v>Very High-Highly Likely</v>
      </c>
      <c r="AL23" s="20" t="str">
        <f t="shared" si="0"/>
        <v>No</v>
      </c>
      <c r="AM23" s="20" t="str">
        <f>IF(RiskRegister[[#This Row],[Risk Status]]="Closed",RiskRegister[[#This Row],[Residual Impact Level]],RiskRegister[[#This Row],[Inherent Impact Level]])</f>
        <v>Very High</v>
      </c>
      <c r="AN23" s="20" t="str">
        <f>IF(RiskRegister[[#This Row],[Risk Status]]="Closed",RiskRegister[[#This Row],[Residual Likelihood Level]],RiskRegister[[#This Row],[Inherent Likelihood Level]])</f>
        <v>Highly Likely</v>
      </c>
      <c r="AO23" s="20" t="str">
        <f>IF(RiskRegister[[#This Row],[Risk Status]]="Closed",RiskRegister[[#This Row],[Residual-I-L-Combo]],RiskRegister[[#This Row],[Inherent-I-L-Combo]])</f>
        <v>Very High-Highly Likely</v>
      </c>
      <c r="AP23" s="20" t="str">
        <f t="shared" si="1"/>
        <v>High</v>
      </c>
    </row>
    <row r="24" spans="1:42" s="16" customFormat="1" ht="60" x14ac:dyDescent="0.25">
      <c r="A24" s="16">
        <v>21</v>
      </c>
      <c r="G24" s="16" t="s">
        <v>60</v>
      </c>
      <c r="I24" s="16" t="s">
        <v>59</v>
      </c>
      <c r="L24" s="16" t="s">
        <v>77</v>
      </c>
      <c r="M24" s="17" t="str">
        <f>VLOOKUP(RiskRegister[[#This Row],[Inherent Impact Level]],'Rating factors'!$F$4:$G$9,2,FALSE)</f>
        <v>--- Error ---</v>
      </c>
      <c r="N24" s="16" t="s">
        <v>62</v>
      </c>
      <c r="O24" s="17" t="str">
        <f>VLOOKUP(RiskRegister[[#This Row],[Inherent Likelihood Level]],'Rating factors'!$F$16:$G$21,2,FALSE)</f>
        <v>--- Error ---</v>
      </c>
      <c r="P24" s="17" t="str">
        <f>IFERROR(VLOOKUP(RiskRegister[[#This Row],[Inherent Risk Rating]],'Rating factors'!$F$30:$G$44,2,FALSE),"-- Error --")</f>
        <v>-- Error --</v>
      </c>
      <c r="Q24" s="17" t="str">
        <f>IFERROR(RiskRegister[[#This Row],[Inherent Impact Rating]]*RiskRegister[[#This Row],[Inherent Likelihood Rating]],"-- Error --")</f>
        <v>-- Error --</v>
      </c>
      <c r="R24" s="16" t="s">
        <v>76</v>
      </c>
      <c r="T24" s="16" t="s">
        <v>77</v>
      </c>
      <c r="U24" s="17" t="str">
        <f>VLOOKUP(RiskRegister[[#This Row],[Residual Impact Level]],'Rating factors'!$F$4:$G$9,2,FALSE)</f>
        <v>--- Error ---</v>
      </c>
      <c r="V24" s="16" t="s">
        <v>62</v>
      </c>
      <c r="W24" s="17" t="str">
        <f>VLOOKUP(RiskRegister[[#This Row],[Residual Likelihood Level]],'Rating factors'!$F$16:$G$21,2,FALSE)</f>
        <v>--- Error ---</v>
      </c>
      <c r="X24" s="17" t="str">
        <f>IFERROR(VLOOKUP(RiskRegister[[#This Row],[Residual Risk Rating]],'Rating factors'!$F$30:$G$44,2,FALSE),"-- Error --")</f>
        <v>-- Error --</v>
      </c>
      <c r="Y24" s="17" t="str">
        <f>IFERROR(RiskRegister[[#This Row],[Residual Impact Rating]]*RiskRegister[[#This Row],[Residual Likelihood Rating]],"-- Error --")</f>
        <v>-- Error --</v>
      </c>
      <c r="Z24" s="16" t="s">
        <v>78</v>
      </c>
      <c r="AB24" s="56"/>
      <c r="AD24" s="20" t="str">
        <f ca="1">IF(ISBLANK(RiskRegister[[#This Row],[Risk Due Date]]), "Missing Risk Due Date", IF(RiskRegister[[#This Row],[Risk Due Date]] &lt; TODAY(), "Overdue", "Not Overdue"))</f>
        <v>Missing Risk Due Date</v>
      </c>
      <c r="AE24" s="177"/>
      <c r="AF24" s="20" t="str">
        <f>IF(ISBLANK(RiskRegister[[#This Row],[Risk Due Date]]), "Missing Risk Due Date", TEXT(RiskRegister[[#This Row],[Risk Due Date]], "YYYY-MM"))</f>
        <v>Missing Risk Due Date</v>
      </c>
      <c r="AG24" s="20" t="str">
        <f>IF(RiskRegister[[#This Row],[Created Date]]="","Created Date missing",(TEXT(RiskRegister[[#This Row],[Created Date]],"mmm") &amp; "-" &amp; YEAR(RiskRegister[[#This Row],[Created Date]])))</f>
        <v>Created Date missing</v>
      </c>
      <c r="AH24" s="74">
        <f>IF(RiskRegister[[#This Row],[Risk Status]]="Closed",RiskRegister[[#This Row],[Risk Close Date]],RiskRegister[[#This Row],[Risk Due Date]])</f>
        <v>0</v>
      </c>
      <c r="AI24" s="74">
        <f>IF(RiskRegister[[#This Row],[Risk-Change-Date]]=0,DATE(2030,1,1),RiskRegister[[#This Row],[Risk-Change-Date]])</f>
        <v>47484</v>
      </c>
      <c r="AJ24" s="20" t="str">
        <f>RiskRegister[[#This Row],[Inherent Impact Level]]&amp;"-"&amp;RiskRegister[[#This Row],[Inherent Likelihood Level]]</f>
        <v>-- Select Impact ----- Select Likelihood --</v>
      </c>
      <c r="AK24" s="20" t="str">
        <f>RiskRegister[[#This Row],[Residual Impact Level]]&amp;"-"&amp;RiskRegister[[#This Row],[Residual Likelihood Level]]</f>
        <v>-- Select Impact ----- Select Likelihood --</v>
      </c>
      <c r="AL24" s="20" t="str">
        <f t="shared" si="0"/>
        <v>Error</v>
      </c>
      <c r="AM24" s="20" t="str">
        <f>IF(RiskRegister[[#This Row],[Risk Status]]="Closed",RiskRegister[[#This Row],[Residual Impact Level]],RiskRegister[[#This Row],[Inherent Impact Level]])</f>
        <v>-- Select Impact --</v>
      </c>
      <c r="AN24" s="20" t="str">
        <f>IF(RiskRegister[[#This Row],[Risk Status]]="Closed",RiskRegister[[#This Row],[Residual Likelihood Level]],RiskRegister[[#This Row],[Inherent Likelihood Level]])</f>
        <v>-- Select Likelihood --</v>
      </c>
      <c r="AO24" s="20" t="str">
        <f>IF(RiskRegister[[#This Row],[Risk Status]]="Closed",RiskRegister[[#This Row],[Residual-I-L-Combo]],RiskRegister[[#This Row],[Inherent-I-L-Combo]])</f>
        <v>-- Select Impact ----- Select Likelihood --</v>
      </c>
      <c r="AP24" s="20" t="str">
        <f t="shared" si="1"/>
        <v>-- Error --</v>
      </c>
    </row>
    <row r="29" spans="1:42" x14ac:dyDescent="0.25">
      <c r="G29" s="176"/>
      <c r="H29" s="176"/>
      <c r="I29" s="176"/>
    </row>
    <row r="30" spans="1:42" x14ac:dyDescent="0.25">
      <c r="G30" s="13"/>
      <c r="H30" s="13"/>
      <c r="I30" s="179"/>
    </row>
    <row r="31" spans="1:42" x14ac:dyDescent="0.25">
      <c r="G31" s="13"/>
      <c r="H31" s="13"/>
      <c r="I31" s="179"/>
    </row>
    <row r="32" spans="1:42" x14ac:dyDescent="0.25">
      <c r="G32" s="13"/>
      <c r="H32" s="13"/>
      <c r="I32" s="179"/>
    </row>
    <row r="33" spans="7:9" x14ac:dyDescent="0.25">
      <c r="G33" s="13"/>
      <c r="H33" s="13"/>
      <c r="I33" s="179"/>
    </row>
    <row r="34" spans="7:9" x14ac:dyDescent="0.25">
      <c r="G34" s="13"/>
      <c r="H34" s="13"/>
      <c r="I34" s="179"/>
    </row>
    <row r="35" spans="7:9" x14ac:dyDescent="0.25">
      <c r="G35" s="13"/>
      <c r="H35" s="13"/>
      <c r="I35" s="179"/>
    </row>
    <row r="36" spans="7:9" x14ac:dyDescent="0.25">
      <c r="G36" s="13"/>
      <c r="H36" s="13"/>
      <c r="I36" s="179"/>
    </row>
    <row r="37" spans="7:9" x14ac:dyDescent="0.25">
      <c r="G37" s="13"/>
      <c r="H37" s="13"/>
      <c r="I37" s="179"/>
    </row>
    <row r="38" spans="7:9" x14ac:dyDescent="0.25">
      <c r="G38" s="13"/>
      <c r="H38" s="13"/>
      <c r="I38" s="179"/>
    </row>
    <row r="39" spans="7:9" x14ac:dyDescent="0.25">
      <c r="G39" s="13"/>
      <c r="H39" s="13"/>
      <c r="I39" s="179"/>
    </row>
    <row r="40" spans="7:9" x14ac:dyDescent="0.25">
      <c r="G40" s="13"/>
      <c r="H40" s="13"/>
      <c r="I40" s="179"/>
    </row>
    <row r="41" spans="7:9" x14ac:dyDescent="0.25">
      <c r="G41" s="13"/>
      <c r="H41" s="13"/>
      <c r="I41" s="179"/>
    </row>
    <row r="42" spans="7:9" x14ac:dyDescent="0.25">
      <c r="G42" s="13"/>
      <c r="H42" s="13"/>
      <c r="I42" s="179"/>
    </row>
    <row r="43" spans="7:9" x14ac:dyDescent="0.25">
      <c r="G43" s="13"/>
      <c r="H43" s="13"/>
      <c r="I43" s="179"/>
    </row>
    <row r="44" spans="7:9" x14ac:dyDescent="0.25">
      <c r="G44" s="13"/>
      <c r="H44" s="13"/>
      <c r="I44" s="179"/>
    </row>
    <row r="45" spans="7:9" x14ac:dyDescent="0.25">
      <c r="G45" s="13"/>
      <c r="H45" s="13"/>
      <c r="I45" s="179"/>
    </row>
    <row r="46" spans="7:9" x14ac:dyDescent="0.25">
      <c r="G46" s="13"/>
      <c r="H46" s="13"/>
      <c r="I46" s="179"/>
    </row>
    <row r="47" spans="7:9" x14ac:dyDescent="0.25">
      <c r="G47" s="13"/>
      <c r="H47" s="13"/>
      <c r="I47" s="179"/>
    </row>
    <row r="48" spans="7:9" x14ac:dyDescent="0.25">
      <c r="G48" s="13"/>
      <c r="H48" s="13"/>
      <c r="I48" s="179"/>
    </row>
    <row r="49" spans="7:9" x14ac:dyDescent="0.25">
      <c r="G49" s="13"/>
      <c r="H49" s="13"/>
      <c r="I49" s="179"/>
    </row>
  </sheetData>
  <mergeCells count="5">
    <mergeCell ref="AF2:AP2"/>
    <mergeCell ref="R2:S2"/>
    <mergeCell ref="Z2:AE2"/>
    <mergeCell ref="L2:Q2"/>
    <mergeCell ref="T2:Y2"/>
  </mergeCells>
  <phoneticPr fontId="22" type="noConversion"/>
  <conditionalFormatting sqref="P1:P1048576">
    <cfRule type="cellIs" dxfId="22" priority="6" operator="equal">
      <formula>"High"</formula>
    </cfRule>
    <cfRule type="cellIs" dxfId="21" priority="7" operator="equal">
      <formula>"Medium"</formula>
    </cfRule>
    <cfRule type="cellIs" dxfId="20" priority="8" operator="equal">
      <formula>"Low"</formula>
    </cfRule>
    <cfRule type="colorScale" priority="9">
      <colorScale>
        <cfvo type="min"/>
        <cfvo type="percentile" val="50"/>
        <cfvo type="max"/>
        <color rgb="FF63BE7B"/>
        <color rgb="FFFFEB84"/>
        <color rgb="FFF8696B"/>
      </colorScale>
    </cfRule>
  </conditionalFormatting>
  <conditionalFormatting sqref="Q1:Q1048576">
    <cfRule type="expression" priority="4">
      <formula>AND($R2&gt;=1,$R2&lt;=$Q$1)</formula>
    </cfRule>
    <cfRule type="expression" dxfId="16" priority="5">
      <formula>AND($R2&gt;=1,$R2&lt;=5)</formula>
    </cfRule>
  </conditionalFormatting>
  <conditionalFormatting sqref="X1:X1048576">
    <cfRule type="cellIs" dxfId="15" priority="1" operator="equal">
      <formula>"High"</formula>
    </cfRule>
    <cfRule type="cellIs" dxfId="14" priority="2" operator="equal">
      <formula>"Medium"</formula>
    </cfRule>
    <cfRule type="cellIs" dxfId="13" priority="3" operator="equal">
      <formula>"Low"</formula>
    </cfRule>
  </conditionalFormatting>
  <dataValidations xWindow="1438" yWindow="512" count="3">
    <dataValidation type="date" allowBlank="1" showInputMessage="1" showErrorMessage="1" errorTitle="Not a date" error="Invalid Entry: Please enter a date" promptTitle="Date Entry Required" prompt="Please enter a valid date in this format: MM/DD/YYYY. Only dates are allowed in this cell." sqref="D4:D23 AE4:AE24 AB4:AC24" xr:uid="{5D6B14F7-4C78-49C2-B981-2624409A0268}">
      <formula1>1</formula1>
      <formula2>109939</formula2>
    </dataValidation>
    <dataValidation allowBlank="1" showErrorMessage="1" sqref="AA4:AA24" xr:uid="{8B898C52-3756-4C3E-8FB2-78BF13C497FF}"/>
    <dataValidation allowBlank="1" showErrorMessage="1" errorTitle="Not a date" error="Invalid Entry: Please enter a date" promptTitle="Date Entry Required" prompt="Please enter a valid date in this format: MM/DD/YYYY. Only dates are allowed in this cell." sqref="AF4:AP24" xr:uid="{CA3B0C93-D60F-4D13-91B0-3547907690B5}"/>
  </dataValidation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xWindow="1438" yWindow="512" count="6">
        <x14:dataValidation type="list" allowBlank="1" showInputMessage="1" showErrorMessage="1" xr:uid="{E0D9FDC4-2332-46D7-91C4-577625DF0EF6}">
          <x14:formula1>
            <xm:f>Dropdowns!$C$28:$C$38</xm:f>
          </x14:formula1>
          <xm:sqref>G4:G24</xm:sqref>
        </x14:dataValidation>
        <x14:dataValidation type="list" allowBlank="1" showInputMessage="1" showErrorMessage="1" xr:uid="{FA6AAF4D-E85B-47F8-BF55-F7392CF39781}">
          <x14:formula1>
            <xm:f>'Rating factors'!$F$16:$F$21</xm:f>
          </x14:formula1>
          <xm:sqref>N4:N24 V4:V24</xm:sqref>
        </x14:dataValidation>
        <x14:dataValidation type="list" allowBlank="1" showInputMessage="1" showErrorMessage="1" xr:uid="{52306775-7832-44BC-9788-08A4F2843F7C}">
          <x14:formula1>
            <xm:f>'Rating factors'!$F$4:$F$9</xm:f>
          </x14:formula1>
          <xm:sqref>L4:L24 T4:T24</xm:sqref>
        </x14:dataValidation>
        <x14:dataValidation type="list" allowBlank="1" showInputMessage="1" showErrorMessage="1" xr:uid="{18CAF67A-56E9-4C35-9C54-206174DA624E}">
          <x14:formula1>
            <xm:f>Dropdowns!$C$2:$C$6</xm:f>
          </x14:formula1>
          <xm:sqref>R4:R24</xm:sqref>
        </x14:dataValidation>
        <x14:dataValidation type="list" allowBlank="1" showInputMessage="1" showErrorMessage="1" xr:uid="{3A99E5AE-6903-4DE1-9245-39B22B47BB7A}">
          <x14:formula1>
            <xm:f>Dropdowns!$C$12:$C$15</xm:f>
          </x14:formula1>
          <xm:sqref>Z4:Z24</xm:sqref>
        </x14:dataValidation>
        <x14:dataValidation type="list" allowBlank="1" showInputMessage="1" showErrorMessage="1" xr:uid="{C736D4A2-9CA1-4F7E-B418-BCCCC4D87892}">
          <x14:formula1>
            <xm:f>Dropdowns!$C$44:$C$50</xm:f>
          </x14:formula1>
          <xm:sqref>I4:I24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56DA1-B0FA-437F-AB50-BA7A712974B4}">
  <dimension ref="A1:Q103"/>
  <sheetViews>
    <sheetView showGridLines="0" zoomScale="110" zoomScaleNormal="110" workbookViewId="0">
      <selection activeCell="A8" sqref="A8:XFD8"/>
    </sheetView>
  </sheetViews>
  <sheetFormatPr defaultColWidth="8.85546875" defaultRowHeight="15" x14ac:dyDescent="0.25"/>
  <cols>
    <col min="1" max="1" width="9.7109375" customWidth="1"/>
    <col min="2" max="2" width="14.42578125" customWidth="1"/>
    <col min="3" max="3" width="29.42578125" customWidth="1"/>
    <col min="4" max="4" width="35.5703125" customWidth="1"/>
    <col min="5" max="6" width="14.42578125" customWidth="1"/>
    <col min="7" max="7" width="14.7109375" customWidth="1"/>
    <col min="8" max="8" width="16.42578125" customWidth="1"/>
    <col min="9" max="9" width="10.42578125" customWidth="1"/>
    <col min="10" max="10" width="26.7109375" customWidth="1"/>
    <col min="11" max="13" width="13.140625" customWidth="1"/>
    <col min="14" max="15" width="20.42578125" customWidth="1"/>
    <col min="16" max="16" width="12.42578125" customWidth="1"/>
    <col min="17" max="17" width="19" customWidth="1"/>
  </cols>
  <sheetData>
    <row r="1" spans="1:17" s="1" customFormat="1" ht="136.5" customHeight="1" x14ac:dyDescent="0.25">
      <c r="A1" s="59"/>
      <c r="B1" s="59"/>
      <c r="C1" s="59"/>
      <c r="D1" s="59"/>
      <c r="E1" s="59"/>
      <c r="F1" s="59"/>
      <c r="G1" s="59"/>
      <c r="H1" s="59"/>
      <c r="I1" s="59"/>
      <c r="J1" s="59"/>
      <c r="K1" s="63"/>
      <c r="L1" s="63"/>
      <c r="M1" s="63"/>
      <c r="N1" s="63"/>
      <c r="O1" s="63"/>
      <c r="P1" s="63"/>
      <c r="Q1" s="63"/>
    </row>
    <row r="2" spans="1:17" s="1" customFormat="1" ht="23.25" customHeight="1" x14ac:dyDescent="0.25">
      <c r="A2" s="59"/>
      <c r="B2" s="59"/>
      <c r="C2" s="59"/>
      <c r="D2" s="59"/>
      <c r="E2" s="59"/>
      <c r="F2" s="59"/>
      <c r="G2" s="59"/>
      <c r="H2" s="59"/>
      <c r="I2" s="169" t="s">
        <v>174</v>
      </c>
      <c r="J2" s="169"/>
      <c r="K2" s="163" t="s">
        <v>132</v>
      </c>
      <c r="L2" s="164"/>
      <c r="M2" s="164"/>
      <c r="N2" s="164"/>
      <c r="O2" s="164"/>
      <c r="P2" s="164"/>
      <c r="Q2" s="164"/>
    </row>
    <row r="3" spans="1:17" s="8" customFormat="1" ht="50.25" customHeight="1" x14ac:dyDescent="0.25">
      <c r="A3" s="19" t="s">
        <v>168</v>
      </c>
      <c r="B3" s="19" t="s">
        <v>178</v>
      </c>
      <c r="C3" s="19" t="s">
        <v>169</v>
      </c>
      <c r="D3" s="19" t="s">
        <v>170</v>
      </c>
      <c r="E3" s="19" t="s">
        <v>171</v>
      </c>
      <c r="F3" s="19" t="s">
        <v>175</v>
      </c>
      <c r="G3" s="19" t="s">
        <v>172</v>
      </c>
      <c r="H3" s="19" t="s">
        <v>173</v>
      </c>
      <c r="I3" s="11" t="s">
        <v>1</v>
      </c>
      <c r="J3" s="11" t="s">
        <v>2</v>
      </c>
      <c r="K3" s="40" t="s">
        <v>32</v>
      </c>
      <c r="L3" s="40" t="s">
        <v>130</v>
      </c>
      <c r="M3" s="40" t="s">
        <v>176</v>
      </c>
      <c r="N3" s="40" t="s">
        <v>177</v>
      </c>
      <c r="O3" s="40" t="s">
        <v>134</v>
      </c>
      <c r="P3" s="40" t="s">
        <v>164</v>
      </c>
      <c r="Q3" s="40" t="s">
        <v>366</v>
      </c>
    </row>
    <row r="4" spans="1:17" x14ac:dyDescent="0.25">
      <c r="A4" t="s">
        <v>179</v>
      </c>
      <c r="B4" s="49">
        <v>45391</v>
      </c>
      <c r="C4" t="s">
        <v>341</v>
      </c>
      <c r="D4" t="s">
        <v>371</v>
      </c>
      <c r="E4" t="s">
        <v>365</v>
      </c>
      <c r="F4" t="s">
        <v>19</v>
      </c>
      <c r="G4" s="48">
        <v>45400</v>
      </c>
      <c r="H4" t="s">
        <v>180</v>
      </c>
      <c r="I4">
        <v>1</v>
      </c>
      <c r="J4" t="str">
        <f>IFERROR(VLOOKUP(Tasks[[#This Row],[Risk ID]],RiskRegister[#All],2,FALSE),"Error!")</f>
        <v>Risk 1</v>
      </c>
      <c r="K4" t="str">
        <f t="shared" ref="K4:K35" ca="1" si="0">IF(OR(F4="", G4=""), "Error", IF(AND(F4&lt;&gt;"Closed", G4&lt;=TODAY()), "Yes", "No"))</f>
        <v>No</v>
      </c>
      <c r="L4" t="s">
        <v>391</v>
      </c>
      <c r="M4">
        <v>2024</v>
      </c>
      <c r="N4" t="str">
        <f>Tasks[[#This Row],[Risk ID]]&amp;" - " &amp;Tasks[[#This Row],[Risk Title]]</f>
        <v>1 - Risk 1</v>
      </c>
    </row>
    <row r="5" spans="1:17" x14ac:dyDescent="0.25">
      <c r="A5" t="s">
        <v>181</v>
      </c>
      <c r="B5" s="49">
        <v>45332</v>
      </c>
      <c r="C5" t="s">
        <v>343</v>
      </c>
      <c r="D5" t="s">
        <v>372</v>
      </c>
      <c r="E5" t="s">
        <v>368</v>
      </c>
      <c r="F5" t="s">
        <v>19</v>
      </c>
      <c r="G5" s="48">
        <v>45538</v>
      </c>
      <c r="H5" t="s">
        <v>183</v>
      </c>
      <c r="I5">
        <v>2</v>
      </c>
      <c r="J5" t="str">
        <f>IFERROR(VLOOKUP(Tasks[[#This Row],[Risk ID]],RiskRegister[#All],2,FALSE),"Error!")</f>
        <v>Risk 2</v>
      </c>
      <c r="K5" t="str">
        <f t="shared" ca="1" si="0"/>
        <v>No</v>
      </c>
      <c r="L5" t="s">
        <v>392</v>
      </c>
      <c r="M5">
        <v>2024</v>
      </c>
      <c r="N5" t="str">
        <f>Tasks[[#This Row],[Risk ID]]&amp;" - " &amp;Tasks[[#This Row],[Risk Title]]</f>
        <v>2 - Risk 2</v>
      </c>
    </row>
    <row r="6" spans="1:17" x14ac:dyDescent="0.25">
      <c r="A6" t="s">
        <v>184</v>
      </c>
      <c r="B6" s="49">
        <v>45331</v>
      </c>
      <c r="C6" t="s">
        <v>185</v>
      </c>
      <c r="D6" t="s">
        <v>373</v>
      </c>
      <c r="E6" t="s">
        <v>365</v>
      </c>
      <c r="F6" t="s">
        <v>115</v>
      </c>
      <c r="G6" s="48">
        <v>45504</v>
      </c>
      <c r="H6" t="s">
        <v>180</v>
      </c>
      <c r="I6">
        <v>3</v>
      </c>
      <c r="J6" t="str">
        <f>IFERROR(VLOOKUP(Tasks[[#This Row],[Risk ID]],RiskRegister[#All],2,FALSE),"Error!")</f>
        <v>Risk 3</v>
      </c>
      <c r="K6" t="str">
        <f t="shared" ca="1" si="0"/>
        <v>Yes</v>
      </c>
      <c r="L6" t="s">
        <v>392</v>
      </c>
      <c r="M6">
        <v>2024</v>
      </c>
      <c r="N6" t="str">
        <f>Tasks[[#This Row],[Risk ID]]&amp;" - " &amp;Tasks[[#This Row],[Risk Title]]</f>
        <v>3 - Risk 3</v>
      </c>
    </row>
    <row r="7" spans="1:17" x14ac:dyDescent="0.25">
      <c r="A7" t="s">
        <v>186</v>
      </c>
      <c r="B7" s="49">
        <v>45391</v>
      </c>
      <c r="C7" t="s">
        <v>187</v>
      </c>
      <c r="D7" t="s">
        <v>374</v>
      </c>
      <c r="E7" t="s">
        <v>368</v>
      </c>
      <c r="F7" t="s">
        <v>115</v>
      </c>
      <c r="G7" s="48">
        <v>45439</v>
      </c>
      <c r="H7" t="s">
        <v>180</v>
      </c>
      <c r="I7">
        <v>1</v>
      </c>
      <c r="J7" t="str">
        <f>IFERROR(VLOOKUP(Tasks[[#This Row],[Risk ID]],RiskRegister[#All],2,FALSE),"Error!")</f>
        <v>Risk 1</v>
      </c>
      <c r="K7" t="str">
        <f t="shared" ca="1" si="0"/>
        <v>Yes</v>
      </c>
      <c r="L7" t="s">
        <v>391</v>
      </c>
      <c r="M7">
        <v>2024</v>
      </c>
      <c r="N7" t="str">
        <f>Tasks[[#This Row],[Risk ID]]&amp;" - " &amp;Tasks[[#This Row],[Risk Title]]</f>
        <v>1 - Risk 1</v>
      </c>
    </row>
    <row r="8" spans="1:17" x14ac:dyDescent="0.25">
      <c r="A8" t="s">
        <v>188</v>
      </c>
      <c r="B8" s="49">
        <v>45349</v>
      </c>
      <c r="C8" t="s">
        <v>185</v>
      </c>
      <c r="D8" t="s">
        <v>375</v>
      </c>
      <c r="E8" t="s">
        <v>370</v>
      </c>
      <c r="F8" t="s">
        <v>19</v>
      </c>
      <c r="G8" s="48">
        <v>45406</v>
      </c>
      <c r="H8" t="s">
        <v>180</v>
      </c>
      <c r="I8">
        <v>2</v>
      </c>
      <c r="J8" t="str">
        <f>IFERROR(VLOOKUP(Tasks[[#This Row],[Risk ID]],RiskRegister[#All],2,FALSE),"Error!")</f>
        <v>Risk 2</v>
      </c>
      <c r="K8" t="str">
        <f t="shared" ca="1" si="0"/>
        <v>No</v>
      </c>
      <c r="L8" t="s">
        <v>392</v>
      </c>
      <c r="M8">
        <v>2024</v>
      </c>
      <c r="N8" t="str">
        <f>Tasks[[#This Row],[Risk ID]]&amp;" - " &amp;Tasks[[#This Row],[Risk Title]]</f>
        <v>2 - Risk 2</v>
      </c>
    </row>
    <row r="9" spans="1:17" x14ac:dyDescent="0.25">
      <c r="A9" t="s">
        <v>189</v>
      </c>
      <c r="B9" s="49">
        <v>45339</v>
      </c>
      <c r="C9" t="s">
        <v>185</v>
      </c>
      <c r="D9" t="s">
        <v>376</v>
      </c>
      <c r="E9" t="s">
        <v>368</v>
      </c>
      <c r="F9" t="s">
        <v>115</v>
      </c>
      <c r="G9" s="48">
        <v>45515</v>
      </c>
      <c r="H9" t="s">
        <v>180</v>
      </c>
      <c r="I9">
        <v>4</v>
      </c>
      <c r="J9" t="str">
        <f>IFERROR(VLOOKUP(Tasks[[#This Row],[Risk ID]],RiskRegister[#All],2,FALSE),"Error!")</f>
        <v>Risk 4</v>
      </c>
      <c r="K9" t="str">
        <f t="shared" ca="1" si="0"/>
        <v>Yes</v>
      </c>
      <c r="L9" t="s">
        <v>392</v>
      </c>
      <c r="M9">
        <v>2024</v>
      </c>
      <c r="N9" t="str">
        <f>Tasks[[#This Row],[Risk ID]]&amp;" - " &amp;Tasks[[#This Row],[Risk Title]]</f>
        <v>4 - Risk 4</v>
      </c>
    </row>
    <row r="10" spans="1:17" x14ac:dyDescent="0.25">
      <c r="A10" t="s">
        <v>190</v>
      </c>
      <c r="B10" s="49">
        <v>45391</v>
      </c>
      <c r="C10" t="s">
        <v>191</v>
      </c>
      <c r="D10" t="s">
        <v>377</v>
      </c>
      <c r="E10" t="s">
        <v>367</v>
      </c>
      <c r="F10" t="s">
        <v>115</v>
      </c>
      <c r="G10" s="48">
        <v>45597</v>
      </c>
      <c r="H10" t="s">
        <v>180</v>
      </c>
      <c r="I10">
        <v>1</v>
      </c>
      <c r="J10" t="str">
        <f>IFERROR(VLOOKUP(Tasks[[#This Row],[Risk ID]],RiskRegister[#All],2,FALSE),"Error!")</f>
        <v>Risk 1</v>
      </c>
      <c r="K10" t="str">
        <f t="shared" ca="1" si="0"/>
        <v>Yes</v>
      </c>
      <c r="L10" t="s">
        <v>391</v>
      </c>
      <c r="M10">
        <v>2024</v>
      </c>
      <c r="N10" t="str">
        <f>Tasks[[#This Row],[Risk ID]]&amp;" - " &amp;Tasks[[#This Row],[Risk Title]]</f>
        <v>1 - Risk 1</v>
      </c>
    </row>
    <row r="11" spans="1:17" x14ac:dyDescent="0.25">
      <c r="A11" t="s">
        <v>192</v>
      </c>
      <c r="B11" s="49">
        <v>45344</v>
      </c>
      <c r="C11" t="s">
        <v>343</v>
      </c>
      <c r="D11" t="s">
        <v>378</v>
      </c>
      <c r="E11" t="s">
        <v>365</v>
      </c>
      <c r="F11" t="s">
        <v>182</v>
      </c>
      <c r="G11" s="48">
        <v>45515</v>
      </c>
      <c r="H11" t="s">
        <v>180</v>
      </c>
      <c r="I11">
        <v>2</v>
      </c>
      <c r="J11" t="str">
        <f>IFERROR(VLOOKUP(Tasks[[#This Row],[Risk ID]],RiskRegister[#All],2,FALSE),"Error!")</f>
        <v>Risk 2</v>
      </c>
      <c r="K11" t="str">
        <f t="shared" ca="1" si="0"/>
        <v>Yes</v>
      </c>
      <c r="L11" t="s">
        <v>392</v>
      </c>
      <c r="M11">
        <v>2024</v>
      </c>
      <c r="N11" t="str">
        <f>Tasks[[#This Row],[Risk ID]]&amp;" - " &amp;Tasks[[#This Row],[Risk Title]]</f>
        <v>2 - Risk 2</v>
      </c>
    </row>
    <row r="12" spans="1:17" x14ac:dyDescent="0.25">
      <c r="A12" t="s">
        <v>193</v>
      </c>
      <c r="B12" s="49">
        <v>45343</v>
      </c>
      <c r="C12" t="s">
        <v>185</v>
      </c>
      <c r="D12" t="s">
        <v>379</v>
      </c>
      <c r="E12" t="s">
        <v>368</v>
      </c>
      <c r="F12" t="s">
        <v>194</v>
      </c>
      <c r="G12" s="48">
        <v>45329</v>
      </c>
      <c r="H12" t="s">
        <v>180</v>
      </c>
      <c r="I12">
        <v>3</v>
      </c>
      <c r="J12" t="str">
        <f>IFERROR(VLOOKUP(Tasks[[#This Row],[Risk ID]],RiskRegister[#All],2,FALSE),"Error!")</f>
        <v>Risk 3</v>
      </c>
      <c r="K12" t="str">
        <f t="shared" ca="1" si="0"/>
        <v>Yes</v>
      </c>
      <c r="L12" t="s">
        <v>392</v>
      </c>
      <c r="M12">
        <v>2024</v>
      </c>
      <c r="N12" t="str">
        <f>Tasks[[#This Row],[Risk ID]]&amp;" - " &amp;Tasks[[#This Row],[Risk Title]]</f>
        <v>3 - Risk 3</v>
      </c>
    </row>
    <row r="13" spans="1:17" x14ac:dyDescent="0.25">
      <c r="A13" t="s">
        <v>195</v>
      </c>
      <c r="B13" s="49">
        <v>45391</v>
      </c>
      <c r="C13" t="s">
        <v>342</v>
      </c>
      <c r="D13" t="s">
        <v>380</v>
      </c>
      <c r="E13" t="s">
        <v>369</v>
      </c>
      <c r="F13" t="s">
        <v>194</v>
      </c>
      <c r="G13" s="48">
        <v>45530</v>
      </c>
      <c r="H13" t="s">
        <v>180</v>
      </c>
      <c r="I13">
        <v>1</v>
      </c>
      <c r="J13" t="str">
        <f>IFERROR(VLOOKUP(Tasks[[#This Row],[Risk ID]],RiskRegister[#All],2,FALSE),"Error!")</f>
        <v>Risk 1</v>
      </c>
      <c r="K13" t="str">
        <f t="shared" ca="1" si="0"/>
        <v>Yes</v>
      </c>
      <c r="L13" t="s">
        <v>391</v>
      </c>
      <c r="M13">
        <v>2024</v>
      </c>
      <c r="N13" t="str">
        <f>Tasks[[#This Row],[Risk ID]]&amp;" - " &amp;Tasks[[#This Row],[Risk Title]]</f>
        <v>1 - Risk 1</v>
      </c>
    </row>
    <row r="14" spans="1:17" x14ac:dyDescent="0.25">
      <c r="A14" t="s">
        <v>196</v>
      </c>
      <c r="B14" s="49">
        <v>45326</v>
      </c>
      <c r="C14" t="s">
        <v>187</v>
      </c>
      <c r="D14" t="s">
        <v>381</v>
      </c>
      <c r="E14" t="s">
        <v>370</v>
      </c>
      <c r="F14" t="s">
        <v>182</v>
      </c>
      <c r="G14" s="48">
        <v>45524</v>
      </c>
      <c r="H14" t="s">
        <v>183</v>
      </c>
      <c r="I14">
        <v>2</v>
      </c>
      <c r="J14" t="str">
        <f>IFERROR(VLOOKUP(Tasks[[#This Row],[Risk ID]],RiskRegister[#All],2,FALSE),"Error!")</f>
        <v>Risk 2</v>
      </c>
      <c r="K14" t="str">
        <f t="shared" ca="1" si="0"/>
        <v>Yes</v>
      </c>
      <c r="L14" t="s">
        <v>392</v>
      </c>
      <c r="M14">
        <v>2024</v>
      </c>
      <c r="N14" t="str">
        <f>Tasks[[#This Row],[Risk ID]]&amp;" - " &amp;Tasks[[#This Row],[Risk Title]]</f>
        <v>2 - Risk 2</v>
      </c>
    </row>
    <row r="15" spans="1:17" x14ac:dyDescent="0.25">
      <c r="A15" t="s">
        <v>197</v>
      </c>
      <c r="B15" s="49">
        <v>45336</v>
      </c>
      <c r="C15" t="s">
        <v>342</v>
      </c>
      <c r="D15" t="s">
        <v>382</v>
      </c>
      <c r="E15" t="s">
        <v>365</v>
      </c>
      <c r="F15" t="s">
        <v>115</v>
      </c>
      <c r="G15" s="48">
        <v>45343</v>
      </c>
      <c r="H15" t="s">
        <v>183</v>
      </c>
      <c r="I15">
        <v>3</v>
      </c>
      <c r="J15" t="str">
        <f>IFERROR(VLOOKUP(Tasks[[#This Row],[Risk ID]],RiskRegister[#All],2,FALSE),"Error!")</f>
        <v>Risk 3</v>
      </c>
      <c r="K15" t="str">
        <f t="shared" ca="1" si="0"/>
        <v>Yes</v>
      </c>
      <c r="L15" t="s">
        <v>392</v>
      </c>
      <c r="M15">
        <v>2024</v>
      </c>
      <c r="N15" t="str">
        <f>Tasks[[#This Row],[Risk ID]]&amp;" - " &amp;Tasks[[#This Row],[Risk Title]]</f>
        <v>3 - Risk 3</v>
      </c>
    </row>
    <row r="16" spans="1:17" x14ac:dyDescent="0.25">
      <c r="A16" t="s">
        <v>198</v>
      </c>
      <c r="B16" s="49">
        <v>45391</v>
      </c>
      <c r="C16" t="s">
        <v>342</v>
      </c>
      <c r="D16" t="s">
        <v>383</v>
      </c>
      <c r="E16" t="s">
        <v>368</v>
      </c>
      <c r="F16" t="s">
        <v>19</v>
      </c>
      <c r="G16" s="48">
        <v>45606</v>
      </c>
      <c r="H16" t="s">
        <v>180</v>
      </c>
      <c r="I16">
        <v>1</v>
      </c>
      <c r="J16" t="str">
        <f>IFERROR(VLOOKUP(Tasks[[#This Row],[Risk ID]],RiskRegister[#All],2,FALSE),"Error!")</f>
        <v>Risk 1</v>
      </c>
      <c r="K16" t="str">
        <f t="shared" ca="1" si="0"/>
        <v>No</v>
      </c>
      <c r="L16" t="s">
        <v>391</v>
      </c>
      <c r="M16">
        <v>2024</v>
      </c>
      <c r="N16" t="str">
        <f>Tasks[[#This Row],[Risk ID]]&amp;" - " &amp;Tasks[[#This Row],[Risk Title]]</f>
        <v>1 - Risk 1</v>
      </c>
    </row>
    <row r="17" spans="1:14" x14ac:dyDescent="0.25">
      <c r="A17" t="s">
        <v>199</v>
      </c>
      <c r="B17" s="49">
        <v>45391</v>
      </c>
      <c r="C17" t="s">
        <v>342</v>
      </c>
      <c r="D17" t="s">
        <v>384</v>
      </c>
      <c r="E17" t="s">
        <v>368</v>
      </c>
      <c r="F17" t="s">
        <v>19</v>
      </c>
      <c r="G17" s="48">
        <v>45337</v>
      </c>
      <c r="H17" t="s">
        <v>180</v>
      </c>
      <c r="I17">
        <v>1</v>
      </c>
      <c r="J17" t="str">
        <f>IFERROR(VLOOKUP(Tasks[[#This Row],[Risk ID]],RiskRegister[#All],2,FALSE),"Error!")</f>
        <v>Risk 1</v>
      </c>
      <c r="K17" t="str">
        <f t="shared" ca="1" si="0"/>
        <v>No</v>
      </c>
      <c r="L17" t="s">
        <v>391</v>
      </c>
      <c r="M17">
        <v>2024</v>
      </c>
      <c r="N17" t="str">
        <f>Tasks[[#This Row],[Risk ID]]&amp;" - " &amp;Tasks[[#This Row],[Risk Title]]</f>
        <v>1 - Risk 1</v>
      </c>
    </row>
    <row r="18" spans="1:14" x14ac:dyDescent="0.25">
      <c r="A18" t="s">
        <v>200</v>
      </c>
      <c r="B18" s="49">
        <v>45346</v>
      </c>
      <c r="C18" t="s">
        <v>187</v>
      </c>
      <c r="D18" t="s">
        <v>385</v>
      </c>
      <c r="E18" t="s">
        <v>367</v>
      </c>
      <c r="F18" t="s">
        <v>19</v>
      </c>
      <c r="G18" s="48">
        <v>45577</v>
      </c>
      <c r="H18" t="s">
        <v>180</v>
      </c>
      <c r="I18">
        <v>2</v>
      </c>
      <c r="J18" t="str">
        <f>IFERROR(VLOOKUP(Tasks[[#This Row],[Risk ID]],RiskRegister[#All],2,FALSE),"Error!")</f>
        <v>Risk 2</v>
      </c>
      <c r="K18" t="str">
        <f t="shared" ca="1" si="0"/>
        <v>No</v>
      </c>
      <c r="L18" t="s">
        <v>392</v>
      </c>
      <c r="M18">
        <v>2024</v>
      </c>
      <c r="N18" t="str">
        <f>Tasks[[#This Row],[Risk ID]]&amp;" - " &amp;Tasks[[#This Row],[Risk Title]]</f>
        <v>2 - Risk 2</v>
      </c>
    </row>
    <row r="19" spans="1:14" x14ac:dyDescent="0.25">
      <c r="A19" t="s">
        <v>201</v>
      </c>
      <c r="B19" s="49">
        <v>45348</v>
      </c>
      <c r="C19" t="s">
        <v>191</v>
      </c>
      <c r="D19" t="s">
        <v>386</v>
      </c>
      <c r="E19" t="s">
        <v>369</v>
      </c>
      <c r="F19" t="s">
        <v>194</v>
      </c>
      <c r="G19" s="48">
        <v>45292</v>
      </c>
      <c r="H19" t="s">
        <v>183</v>
      </c>
      <c r="I19">
        <v>2</v>
      </c>
      <c r="J19" t="str">
        <f>IFERROR(VLOOKUP(Tasks[[#This Row],[Risk ID]],RiskRegister[#All],2,FALSE),"Error!")</f>
        <v>Risk 2</v>
      </c>
      <c r="K19" t="str">
        <f t="shared" ca="1" si="0"/>
        <v>Yes</v>
      </c>
      <c r="L19" t="s">
        <v>392</v>
      </c>
      <c r="M19">
        <v>2024</v>
      </c>
      <c r="N19" t="str">
        <f>Tasks[[#This Row],[Risk ID]]&amp;" - " &amp;Tasks[[#This Row],[Risk Title]]</f>
        <v>2 - Risk 2</v>
      </c>
    </row>
    <row r="20" spans="1:14" x14ac:dyDescent="0.25">
      <c r="A20" t="s">
        <v>202</v>
      </c>
      <c r="B20" s="49">
        <v>45349</v>
      </c>
      <c r="C20" t="s">
        <v>191</v>
      </c>
      <c r="D20" t="s">
        <v>387</v>
      </c>
      <c r="E20" t="s">
        <v>365</v>
      </c>
      <c r="F20" t="s">
        <v>182</v>
      </c>
      <c r="G20" s="48">
        <v>45598</v>
      </c>
      <c r="H20" t="s">
        <v>180</v>
      </c>
      <c r="I20">
        <v>3</v>
      </c>
      <c r="J20" t="str">
        <f>IFERROR(VLOOKUP(Tasks[[#This Row],[Risk ID]],RiskRegister[#All],2,FALSE),"Error!")</f>
        <v>Risk 3</v>
      </c>
      <c r="K20" t="str">
        <f t="shared" ca="1" si="0"/>
        <v>Yes</v>
      </c>
      <c r="L20" t="s">
        <v>392</v>
      </c>
      <c r="M20">
        <v>2024</v>
      </c>
      <c r="N20" t="str">
        <f>Tasks[[#This Row],[Risk ID]]&amp;" - " &amp;Tasks[[#This Row],[Risk Title]]</f>
        <v>3 - Risk 3</v>
      </c>
    </row>
    <row r="21" spans="1:14" x14ac:dyDescent="0.25">
      <c r="A21" t="s">
        <v>203</v>
      </c>
      <c r="B21" s="49">
        <v>45326</v>
      </c>
      <c r="C21" t="s">
        <v>342</v>
      </c>
      <c r="D21" t="s">
        <v>388</v>
      </c>
      <c r="E21" t="s">
        <v>365</v>
      </c>
      <c r="F21" t="s">
        <v>19</v>
      </c>
      <c r="G21" s="48">
        <v>45348</v>
      </c>
      <c r="H21" t="s">
        <v>180</v>
      </c>
      <c r="I21">
        <v>3</v>
      </c>
      <c r="J21" t="str">
        <f>IFERROR(VLOOKUP(Tasks[[#This Row],[Risk ID]],RiskRegister[#All],2,FALSE),"Error!")</f>
        <v>Risk 3</v>
      </c>
      <c r="K21" t="str">
        <f t="shared" ca="1" si="0"/>
        <v>No</v>
      </c>
      <c r="L21" t="s">
        <v>392</v>
      </c>
      <c r="M21">
        <v>2024</v>
      </c>
      <c r="N21" t="str">
        <f>Tasks[[#This Row],[Risk ID]]&amp;" - " &amp;Tasks[[#This Row],[Risk Title]]</f>
        <v>3 - Risk 3</v>
      </c>
    </row>
    <row r="22" spans="1:14" x14ac:dyDescent="0.25">
      <c r="A22" t="s">
        <v>204</v>
      </c>
      <c r="B22" s="49">
        <v>45391</v>
      </c>
      <c r="C22" t="s">
        <v>187</v>
      </c>
      <c r="D22" t="s">
        <v>389</v>
      </c>
      <c r="E22" t="s">
        <v>370</v>
      </c>
      <c r="F22" t="s">
        <v>19</v>
      </c>
      <c r="G22" s="48">
        <v>45619</v>
      </c>
      <c r="H22" t="s">
        <v>183</v>
      </c>
      <c r="I22">
        <v>1</v>
      </c>
      <c r="J22" t="str">
        <f>IFERROR(VLOOKUP(Tasks[[#This Row],[Risk ID]],RiskRegister[#All],2,FALSE),"Error!")</f>
        <v>Risk 1</v>
      </c>
      <c r="K22" t="str">
        <f t="shared" ca="1" si="0"/>
        <v>No</v>
      </c>
      <c r="L22" t="s">
        <v>391</v>
      </c>
      <c r="M22">
        <v>2024</v>
      </c>
      <c r="N22" t="str">
        <f>Tasks[[#This Row],[Risk ID]]&amp;" - " &amp;Tasks[[#This Row],[Risk Title]]</f>
        <v>1 - Risk 1</v>
      </c>
    </row>
    <row r="23" spans="1:14" x14ac:dyDescent="0.25">
      <c r="A23" t="s">
        <v>205</v>
      </c>
      <c r="B23" s="49">
        <v>45325</v>
      </c>
      <c r="C23" t="s">
        <v>187</v>
      </c>
      <c r="D23" t="s">
        <v>390</v>
      </c>
      <c r="E23" t="s">
        <v>370</v>
      </c>
      <c r="F23" t="s">
        <v>115</v>
      </c>
      <c r="G23" s="48">
        <v>45457</v>
      </c>
      <c r="H23" t="s">
        <v>180</v>
      </c>
      <c r="I23">
        <v>2</v>
      </c>
      <c r="J23" t="str">
        <f>IFERROR(VLOOKUP(Tasks[[#This Row],[Risk ID]],RiskRegister[#All],2,FALSE),"Error!")</f>
        <v>Risk 2</v>
      </c>
      <c r="K23" t="str">
        <f t="shared" ca="1" si="0"/>
        <v>Yes</v>
      </c>
      <c r="L23" t="s">
        <v>392</v>
      </c>
      <c r="M23">
        <v>2024</v>
      </c>
      <c r="N23" t="str">
        <f>Tasks[[#This Row],[Risk ID]]&amp;" - " &amp;Tasks[[#This Row],[Risk Title]]</f>
        <v>2 - Risk 2</v>
      </c>
    </row>
    <row r="24" spans="1:14" x14ac:dyDescent="0.25">
      <c r="A24" t="s">
        <v>206</v>
      </c>
      <c r="B24" s="49"/>
      <c r="G24" s="48"/>
      <c r="J24" t="str">
        <f>IFERROR(VLOOKUP(Tasks[[#This Row],[Risk ID]],RiskRegister[#All],2,FALSE),"Error!")</f>
        <v>Error!</v>
      </c>
      <c r="K24" t="str">
        <f t="shared" ca="1" si="0"/>
        <v>Error</v>
      </c>
      <c r="N24" t="str">
        <f>Tasks[[#This Row],[Risk ID]]&amp;" - " &amp;Tasks[[#This Row],[Risk Title]]</f>
        <v xml:space="preserve"> - Error!</v>
      </c>
    </row>
    <row r="25" spans="1:14" x14ac:dyDescent="0.25">
      <c r="A25" t="s">
        <v>207</v>
      </c>
      <c r="B25" s="49"/>
      <c r="G25" s="48"/>
      <c r="J25" t="str">
        <f>IFERROR(VLOOKUP(Tasks[[#This Row],[Risk ID]],RiskRegister[#All],2,FALSE),"Error!")</f>
        <v>Error!</v>
      </c>
      <c r="K25" t="str">
        <f t="shared" ca="1" si="0"/>
        <v>Error</v>
      </c>
      <c r="N25" t="str">
        <f>Tasks[[#This Row],[Risk ID]]&amp;" - " &amp;Tasks[[#This Row],[Risk Title]]</f>
        <v xml:space="preserve"> - Error!</v>
      </c>
    </row>
    <row r="26" spans="1:14" x14ac:dyDescent="0.25">
      <c r="A26" t="s">
        <v>208</v>
      </c>
      <c r="B26" s="49"/>
      <c r="G26" s="48"/>
      <c r="J26" t="str">
        <f>IFERROR(VLOOKUP(Tasks[[#This Row],[Risk ID]],RiskRegister[#All],2,FALSE),"Error!")</f>
        <v>Error!</v>
      </c>
      <c r="K26" t="str">
        <f t="shared" ca="1" si="0"/>
        <v>Error</v>
      </c>
      <c r="N26" t="str">
        <f>Tasks[[#This Row],[Risk ID]]&amp;" - " &amp;Tasks[[#This Row],[Risk Title]]</f>
        <v xml:space="preserve"> - Error!</v>
      </c>
    </row>
    <row r="27" spans="1:14" x14ac:dyDescent="0.25">
      <c r="A27" t="s">
        <v>209</v>
      </c>
      <c r="B27" s="49"/>
      <c r="G27" s="48"/>
      <c r="J27" t="str">
        <f>IFERROR(VLOOKUP(Tasks[[#This Row],[Risk ID]],RiskRegister[#All],2,FALSE),"Error!")</f>
        <v>Error!</v>
      </c>
      <c r="K27" t="str">
        <f t="shared" ca="1" si="0"/>
        <v>Error</v>
      </c>
      <c r="N27" t="str">
        <f>Tasks[[#This Row],[Risk ID]]&amp;" - " &amp;Tasks[[#This Row],[Risk Title]]</f>
        <v xml:space="preserve"> - Error!</v>
      </c>
    </row>
    <row r="28" spans="1:14" x14ac:dyDescent="0.25">
      <c r="A28" t="s">
        <v>210</v>
      </c>
      <c r="B28" s="49"/>
      <c r="G28" s="48"/>
      <c r="J28" t="str">
        <f>IFERROR(VLOOKUP(Tasks[[#This Row],[Risk ID]],RiskRegister[#All],2,FALSE),"Error!")</f>
        <v>Error!</v>
      </c>
      <c r="K28" t="str">
        <f t="shared" ca="1" si="0"/>
        <v>Error</v>
      </c>
      <c r="N28" t="str">
        <f>Tasks[[#This Row],[Risk ID]]&amp;" - " &amp;Tasks[[#This Row],[Risk Title]]</f>
        <v xml:space="preserve"> - Error!</v>
      </c>
    </row>
    <row r="29" spans="1:14" x14ac:dyDescent="0.25">
      <c r="A29" t="s">
        <v>211</v>
      </c>
      <c r="B29" s="49"/>
      <c r="G29" s="48"/>
      <c r="J29" t="str">
        <f>IFERROR(VLOOKUP(Tasks[[#This Row],[Risk ID]],RiskRegister[#All],2,FALSE),"Error!")</f>
        <v>Error!</v>
      </c>
      <c r="K29" t="str">
        <f t="shared" ca="1" si="0"/>
        <v>Error</v>
      </c>
      <c r="N29" t="str">
        <f>Tasks[[#This Row],[Risk ID]]&amp;" - " &amp;Tasks[[#This Row],[Risk Title]]</f>
        <v xml:space="preserve"> - Error!</v>
      </c>
    </row>
    <row r="30" spans="1:14" x14ac:dyDescent="0.25">
      <c r="A30" t="s">
        <v>212</v>
      </c>
      <c r="B30" s="49"/>
      <c r="G30" s="48"/>
      <c r="J30" t="str">
        <f>IFERROR(VLOOKUP(Tasks[[#This Row],[Risk ID]],RiskRegister[#All],2,FALSE),"Error!")</f>
        <v>Error!</v>
      </c>
      <c r="K30" t="str">
        <f t="shared" ca="1" si="0"/>
        <v>Error</v>
      </c>
      <c r="N30" t="str">
        <f>Tasks[[#This Row],[Risk ID]]&amp;" - " &amp;Tasks[[#This Row],[Risk Title]]</f>
        <v xml:space="preserve"> - Error!</v>
      </c>
    </row>
    <row r="31" spans="1:14" x14ac:dyDescent="0.25">
      <c r="A31" t="s">
        <v>213</v>
      </c>
      <c r="B31" s="49"/>
      <c r="G31" s="48"/>
      <c r="J31" t="str">
        <f>IFERROR(VLOOKUP(Tasks[[#This Row],[Risk ID]],RiskRegister[#All],2,FALSE),"Error!")</f>
        <v>Error!</v>
      </c>
      <c r="K31" t="str">
        <f t="shared" ca="1" si="0"/>
        <v>Error</v>
      </c>
      <c r="N31" t="str">
        <f>Tasks[[#This Row],[Risk ID]]&amp;" - " &amp;Tasks[[#This Row],[Risk Title]]</f>
        <v xml:space="preserve"> - Error!</v>
      </c>
    </row>
    <row r="32" spans="1:14" x14ac:dyDescent="0.25">
      <c r="A32" t="s">
        <v>214</v>
      </c>
      <c r="B32" s="49"/>
      <c r="G32" s="48"/>
      <c r="J32" t="str">
        <f>IFERROR(VLOOKUP(Tasks[[#This Row],[Risk ID]],RiskRegister[#All],2,FALSE),"Error!")</f>
        <v>Error!</v>
      </c>
      <c r="K32" t="str">
        <f t="shared" ca="1" si="0"/>
        <v>Error</v>
      </c>
      <c r="N32" t="str">
        <f>Tasks[[#This Row],[Risk ID]]&amp;" - " &amp;Tasks[[#This Row],[Risk Title]]</f>
        <v xml:space="preserve"> - Error!</v>
      </c>
    </row>
    <row r="33" spans="1:14" x14ac:dyDescent="0.25">
      <c r="A33" t="s">
        <v>215</v>
      </c>
      <c r="B33" s="49"/>
      <c r="G33" s="48"/>
      <c r="J33" t="str">
        <f>IFERROR(VLOOKUP(Tasks[[#This Row],[Risk ID]],RiskRegister[#All],2,FALSE),"Error!")</f>
        <v>Error!</v>
      </c>
      <c r="K33" t="str">
        <f t="shared" ca="1" si="0"/>
        <v>Error</v>
      </c>
      <c r="N33" t="str">
        <f>Tasks[[#This Row],[Risk ID]]&amp;" - " &amp;Tasks[[#This Row],[Risk Title]]</f>
        <v xml:space="preserve"> - Error!</v>
      </c>
    </row>
    <row r="34" spans="1:14" x14ac:dyDescent="0.25">
      <c r="A34" t="s">
        <v>216</v>
      </c>
      <c r="B34" s="49"/>
      <c r="G34" s="48"/>
      <c r="J34" t="str">
        <f>IFERROR(VLOOKUP(Tasks[[#This Row],[Risk ID]],RiskRegister[#All],2,FALSE),"Error!")</f>
        <v>Error!</v>
      </c>
      <c r="K34" t="str">
        <f t="shared" ca="1" si="0"/>
        <v>Error</v>
      </c>
      <c r="N34" t="str">
        <f>Tasks[[#This Row],[Risk ID]]&amp;" - " &amp;Tasks[[#This Row],[Risk Title]]</f>
        <v xml:space="preserve"> - Error!</v>
      </c>
    </row>
    <row r="35" spans="1:14" x14ac:dyDescent="0.25">
      <c r="A35" t="s">
        <v>217</v>
      </c>
      <c r="B35" s="49"/>
      <c r="G35" s="48"/>
      <c r="J35" t="str">
        <f>IFERROR(VLOOKUP(Tasks[[#This Row],[Risk ID]],RiskRegister[#All],2,FALSE),"Error!")</f>
        <v>Error!</v>
      </c>
      <c r="K35" t="str">
        <f t="shared" ca="1" si="0"/>
        <v>Error</v>
      </c>
      <c r="N35" t="str">
        <f>Tasks[[#This Row],[Risk ID]]&amp;" - " &amp;Tasks[[#This Row],[Risk Title]]</f>
        <v xml:space="preserve"> - Error!</v>
      </c>
    </row>
    <row r="36" spans="1:14" x14ac:dyDescent="0.25">
      <c r="A36" t="s">
        <v>218</v>
      </c>
      <c r="B36" s="49"/>
      <c r="G36" s="48"/>
      <c r="J36" t="str">
        <f>IFERROR(VLOOKUP(Tasks[[#This Row],[Risk ID]],RiskRegister[#All],2,FALSE),"Error!")</f>
        <v>Error!</v>
      </c>
      <c r="K36" t="str">
        <f t="shared" ref="K36:K67" ca="1" si="1">IF(OR(F36="", G36=""), "Error", IF(AND(F36&lt;&gt;"Closed", G36&lt;=TODAY()), "Yes", "No"))</f>
        <v>Error</v>
      </c>
      <c r="N36" t="str">
        <f>Tasks[[#This Row],[Risk ID]]&amp;" - " &amp;Tasks[[#This Row],[Risk Title]]</f>
        <v xml:space="preserve"> - Error!</v>
      </c>
    </row>
    <row r="37" spans="1:14" x14ac:dyDescent="0.25">
      <c r="A37" t="s">
        <v>219</v>
      </c>
      <c r="B37" s="49"/>
      <c r="G37" s="48"/>
      <c r="J37" t="str">
        <f>IFERROR(VLOOKUP(Tasks[[#This Row],[Risk ID]],RiskRegister[#All],2,FALSE),"Error!")</f>
        <v>Error!</v>
      </c>
      <c r="K37" t="str">
        <f t="shared" ca="1" si="1"/>
        <v>Error</v>
      </c>
      <c r="N37" t="str">
        <f>Tasks[[#This Row],[Risk ID]]&amp;" - " &amp;Tasks[[#This Row],[Risk Title]]</f>
        <v xml:space="preserve"> - Error!</v>
      </c>
    </row>
    <row r="38" spans="1:14" x14ac:dyDescent="0.25">
      <c r="A38" t="s">
        <v>220</v>
      </c>
      <c r="B38" s="49"/>
      <c r="G38" s="48"/>
      <c r="J38" t="str">
        <f>IFERROR(VLOOKUP(Tasks[[#This Row],[Risk ID]],RiskRegister[#All],2,FALSE),"Error!")</f>
        <v>Error!</v>
      </c>
      <c r="K38" t="str">
        <f t="shared" ca="1" si="1"/>
        <v>Error</v>
      </c>
      <c r="N38" t="str">
        <f>Tasks[[#This Row],[Risk ID]]&amp;" - " &amp;Tasks[[#This Row],[Risk Title]]</f>
        <v xml:space="preserve"> - Error!</v>
      </c>
    </row>
    <row r="39" spans="1:14" x14ac:dyDescent="0.25">
      <c r="A39" t="s">
        <v>221</v>
      </c>
      <c r="B39" s="49"/>
      <c r="G39" s="48"/>
      <c r="J39" t="str">
        <f>IFERROR(VLOOKUP(Tasks[[#This Row],[Risk ID]],RiskRegister[#All],2,FALSE),"Error!")</f>
        <v>Error!</v>
      </c>
      <c r="K39" t="str">
        <f t="shared" ca="1" si="1"/>
        <v>Error</v>
      </c>
      <c r="N39" t="str">
        <f>Tasks[[#This Row],[Risk ID]]&amp;" - " &amp;Tasks[[#This Row],[Risk Title]]</f>
        <v xml:space="preserve"> - Error!</v>
      </c>
    </row>
    <row r="40" spans="1:14" x14ac:dyDescent="0.25">
      <c r="A40" t="s">
        <v>222</v>
      </c>
      <c r="B40" s="49"/>
      <c r="G40" s="48"/>
      <c r="J40" t="str">
        <f>IFERROR(VLOOKUP(Tasks[[#This Row],[Risk ID]],RiskRegister[#All],2,FALSE),"Error!")</f>
        <v>Error!</v>
      </c>
      <c r="K40" t="str">
        <f t="shared" ca="1" si="1"/>
        <v>Error</v>
      </c>
      <c r="N40" t="str">
        <f>Tasks[[#This Row],[Risk ID]]&amp;" - " &amp;Tasks[[#This Row],[Risk Title]]</f>
        <v xml:space="preserve"> - Error!</v>
      </c>
    </row>
    <row r="41" spans="1:14" x14ac:dyDescent="0.25">
      <c r="A41" t="s">
        <v>223</v>
      </c>
      <c r="B41" s="49"/>
      <c r="G41" s="48"/>
      <c r="J41" t="str">
        <f>IFERROR(VLOOKUP(Tasks[[#This Row],[Risk ID]],RiskRegister[#All],2,FALSE),"Error!")</f>
        <v>Error!</v>
      </c>
      <c r="K41" t="str">
        <f t="shared" ca="1" si="1"/>
        <v>Error</v>
      </c>
      <c r="N41" t="str">
        <f>Tasks[[#This Row],[Risk ID]]&amp;" - " &amp;Tasks[[#This Row],[Risk Title]]</f>
        <v xml:space="preserve"> - Error!</v>
      </c>
    </row>
    <row r="42" spans="1:14" x14ac:dyDescent="0.25">
      <c r="A42" t="s">
        <v>224</v>
      </c>
      <c r="B42" s="49"/>
      <c r="G42" s="48"/>
      <c r="J42" t="str">
        <f>IFERROR(VLOOKUP(Tasks[[#This Row],[Risk ID]],RiskRegister[#All],2,FALSE),"Error!")</f>
        <v>Error!</v>
      </c>
      <c r="K42" t="str">
        <f t="shared" ca="1" si="1"/>
        <v>Error</v>
      </c>
      <c r="N42" t="str">
        <f>Tasks[[#This Row],[Risk ID]]&amp;" - " &amp;Tasks[[#This Row],[Risk Title]]</f>
        <v xml:space="preserve"> - Error!</v>
      </c>
    </row>
    <row r="43" spans="1:14" x14ac:dyDescent="0.25">
      <c r="A43" t="s">
        <v>225</v>
      </c>
      <c r="B43" s="49"/>
      <c r="G43" s="48"/>
      <c r="J43" t="str">
        <f>IFERROR(VLOOKUP(Tasks[[#This Row],[Risk ID]],RiskRegister[#All],2,FALSE),"Error!")</f>
        <v>Error!</v>
      </c>
      <c r="K43" t="str">
        <f t="shared" ca="1" si="1"/>
        <v>Error</v>
      </c>
      <c r="N43" t="str">
        <f>Tasks[[#This Row],[Risk ID]]&amp;" - " &amp;Tasks[[#This Row],[Risk Title]]</f>
        <v xml:space="preserve"> - Error!</v>
      </c>
    </row>
    <row r="44" spans="1:14" x14ac:dyDescent="0.25">
      <c r="A44" t="s">
        <v>226</v>
      </c>
      <c r="B44" s="49"/>
      <c r="G44" s="48"/>
      <c r="J44" t="str">
        <f>IFERROR(VLOOKUP(Tasks[[#This Row],[Risk ID]],RiskRegister[#All],2,FALSE),"Error!")</f>
        <v>Error!</v>
      </c>
      <c r="K44" t="str">
        <f t="shared" ca="1" si="1"/>
        <v>Error</v>
      </c>
      <c r="N44" t="str">
        <f>Tasks[[#This Row],[Risk ID]]&amp;" - " &amp;Tasks[[#This Row],[Risk Title]]</f>
        <v xml:space="preserve"> - Error!</v>
      </c>
    </row>
    <row r="45" spans="1:14" x14ac:dyDescent="0.25">
      <c r="A45" t="s">
        <v>227</v>
      </c>
      <c r="B45" s="49"/>
      <c r="G45" s="48"/>
      <c r="J45" t="str">
        <f>IFERROR(VLOOKUP(Tasks[[#This Row],[Risk ID]],RiskRegister[#All],2,FALSE),"Error!")</f>
        <v>Error!</v>
      </c>
      <c r="K45" t="str">
        <f t="shared" ca="1" si="1"/>
        <v>Error</v>
      </c>
      <c r="N45" t="str">
        <f>Tasks[[#This Row],[Risk ID]]&amp;" - " &amp;Tasks[[#This Row],[Risk Title]]</f>
        <v xml:space="preserve"> - Error!</v>
      </c>
    </row>
    <row r="46" spans="1:14" x14ac:dyDescent="0.25">
      <c r="A46" t="s">
        <v>228</v>
      </c>
      <c r="B46" s="49"/>
      <c r="G46" s="48"/>
      <c r="J46" t="str">
        <f>IFERROR(VLOOKUP(Tasks[[#This Row],[Risk ID]],RiskRegister[#All],2,FALSE),"Error!")</f>
        <v>Error!</v>
      </c>
      <c r="K46" t="str">
        <f t="shared" ca="1" si="1"/>
        <v>Error</v>
      </c>
      <c r="N46" t="str">
        <f>Tasks[[#This Row],[Risk ID]]&amp;" - " &amp;Tasks[[#This Row],[Risk Title]]</f>
        <v xml:space="preserve"> - Error!</v>
      </c>
    </row>
    <row r="47" spans="1:14" x14ac:dyDescent="0.25">
      <c r="A47" t="s">
        <v>229</v>
      </c>
      <c r="B47" s="49"/>
      <c r="G47" s="48"/>
      <c r="J47" t="str">
        <f>IFERROR(VLOOKUP(Tasks[[#This Row],[Risk ID]],RiskRegister[#All],2,FALSE),"Error!")</f>
        <v>Error!</v>
      </c>
      <c r="K47" t="str">
        <f t="shared" ca="1" si="1"/>
        <v>Error</v>
      </c>
      <c r="N47" t="str">
        <f>Tasks[[#This Row],[Risk ID]]&amp;" - " &amp;Tasks[[#This Row],[Risk Title]]</f>
        <v xml:space="preserve"> - Error!</v>
      </c>
    </row>
    <row r="48" spans="1:14" x14ac:dyDescent="0.25">
      <c r="A48" t="s">
        <v>230</v>
      </c>
      <c r="B48" s="49"/>
      <c r="G48" s="48"/>
      <c r="J48" t="str">
        <f>IFERROR(VLOOKUP(Tasks[[#This Row],[Risk ID]],RiskRegister[#All],2,FALSE),"Error!")</f>
        <v>Error!</v>
      </c>
      <c r="K48" t="str">
        <f t="shared" ca="1" si="1"/>
        <v>Error</v>
      </c>
      <c r="N48" t="str">
        <f>Tasks[[#This Row],[Risk ID]]&amp;" - " &amp;Tasks[[#This Row],[Risk Title]]</f>
        <v xml:space="preserve"> - Error!</v>
      </c>
    </row>
    <row r="49" spans="1:14" x14ac:dyDescent="0.25">
      <c r="A49" t="s">
        <v>231</v>
      </c>
      <c r="B49" s="49"/>
      <c r="G49" s="48"/>
      <c r="J49" t="str">
        <f>IFERROR(VLOOKUP(Tasks[[#This Row],[Risk ID]],RiskRegister[#All],2,FALSE),"Error!")</f>
        <v>Error!</v>
      </c>
      <c r="K49" t="str">
        <f t="shared" ca="1" si="1"/>
        <v>Error</v>
      </c>
      <c r="N49" t="str">
        <f>Tasks[[#This Row],[Risk ID]]&amp;" - " &amp;Tasks[[#This Row],[Risk Title]]</f>
        <v xml:space="preserve"> - Error!</v>
      </c>
    </row>
    <row r="50" spans="1:14" x14ac:dyDescent="0.25">
      <c r="A50" t="s">
        <v>232</v>
      </c>
      <c r="B50" s="49"/>
      <c r="G50" s="48"/>
      <c r="J50" t="str">
        <f>IFERROR(VLOOKUP(Tasks[[#This Row],[Risk ID]],RiskRegister[#All],2,FALSE),"Error!")</f>
        <v>Error!</v>
      </c>
      <c r="K50" t="str">
        <f t="shared" ca="1" si="1"/>
        <v>Error</v>
      </c>
      <c r="N50" t="str">
        <f>Tasks[[#This Row],[Risk ID]]&amp;" - " &amp;Tasks[[#This Row],[Risk Title]]</f>
        <v xml:space="preserve"> - Error!</v>
      </c>
    </row>
    <row r="51" spans="1:14" x14ac:dyDescent="0.25">
      <c r="A51" t="s">
        <v>233</v>
      </c>
      <c r="B51" s="49"/>
      <c r="G51" s="48"/>
      <c r="J51" t="str">
        <f>IFERROR(VLOOKUP(Tasks[[#This Row],[Risk ID]],RiskRegister[#All],2,FALSE),"Error!")</f>
        <v>Error!</v>
      </c>
      <c r="K51" t="str">
        <f t="shared" ca="1" si="1"/>
        <v>Error</v>
      </c>
      <c r="N51" t="str">
        <f>Tasks[[#This Row],[Risk ID]]&amp;" - " &amp;Tasks[[#This Row],[Risk Title]]</f>
        <v xml:space="preserve"> - Error!</v>
      </c>
    </row>
    <row r="52" spans="1:14" x14ac:dyDescent="0.25">
      <c r="A52" t="s">
        <v>234</v>
      </c>
      <c r="B52" s="49"/>
      <c r="G52" s="48"/>
      <c r="J52" t="str">
        <f>IFERROR(VLOOKUP(Tasks[[#This Row],[Risk ID]],RiskRegister[#All],2,FALSE),"Error!")</f>
        <v>Error!</v>
      </c>
      <c r="K52" t="str">
        <f t="shared" ca="1" si="1"/>
        <v>Error</v>
      </c>
      <c r="N52" t="str">
        <f>Tasks[[#This Row],[Risk ID]]&amp;" - " &amp;Tasks[[#This Row],[Risk Title]]</f>
        <v xml:space="preserve"> - Error!</v>
      </c>
    </row>
    <row r="53" spans="1:14" x14ac:dyDescent="0.25">
      <c r="A53" t="s">
        <v>235</v>
      </c>
      <c r="B53" s="49"/>
      <c r="G53" s="48"/>
      <c r="J53" t="str">
        <f>IFERROR(VLOOKUP(Tasks[[#This Row],[Risk ID]],RiskRegister[#All],2,FALSE),"Error!")</f>
        <v>Error!</v>
      </c>
      <c r="K53" t="str">
        <f t="shared" ca="1" si="1"/>
        <v>Error</v>
      </c>
      <c r="N53" t="str">
        <f>Tasks[[#This Row],[Risk ID]]&amp;" - " &amp;Tasks[[#This Row],[Risk Title]]</f>
        <v xml:space="preserve"> - Error!</v>
      </c>
    </row>
    <row r="54" spans="1:14" x14ac:dyDescent="0.25">
      <c r="A54" t="s">
        <v>236</v>
      </c>
      <c r="B54" s="49"/>
      <c r="G54" s="48"/>
      <c r="J54" t="str">
        <f>IFERROR(VLOOKUP(Tasks[[#This Row],[Risk ID]],RiskRegister[#All],2,FALSE),"Error!")</f>
        <v>Error!</v>
      </c>
      <c r="K54" t="str">
        <f t="shared" ca="1" si="1"/>
        <v>Error</v>
      </c>
      <c r="N54" t="str">
        <f>Tasks[[#This Row],[Risk ID]]&amp;" - " &amp;Tasks[[#This Row],[Risk Title]]</f>
        <v xml:space="preserve"> - Error!</v>
      </c>
    </row>
    <row r="55" spans="1:14" x14ac:dyDescent="0.25">
      <c r="A55" t="s">
        <v>237</v>
      </c>
      <c r="B55" s="49"/>
      <c r="G55" s="48"/>
      <c r="J55" t="str">
        <f>IFERROR(VLOOKUP(Tasks[[#This Row],[Risk ID]],RiskRegister[#All],2,FALSE),"Error!")</f>
        <v>Error!</v>
      </c>
      <c r="K55" t="str">
        <f t="shared" ca="1" si="1"/>
        <v>Error</v>
      </c>
      <c r="N55" t="str">
        <f>Tasks[[#This Row],[Risk ID]]&amp;" - " &amp;Tasks[[#This Row],[Risk Title]]</f>
        <v xml:space="preserve"> - Error!</v>
      </c>
    </row>
    <row r="56" spans="1:14" x14ac:dyDescent="0.25">
      <c r="A56" t="s">
        <v>238</v>
      </c>
      <c r="B56" s="49"/>
      <c r="G56" s="48"/>
      <c r="J56" t="str">
        <f>IFERROR(VLOOKUP(Tasks[[#This Row],[Risk ID]],RiskRegister[#All],2,FALSE),"Error!")</f>
        <v>Error!</v>
      </c>
      <c r="K56" t="str">
        <f t="shared" ca="1" si="1"/>
        <v>Error</v>
      </c>
      <c r="N56" t="str">
        <f>Tasks[[#This Row],[Risk ID]]&amp;" - " &amp;Tasks[[#This Row],[Risk Title]]</f>
        <v xml:space="preserve"> - Error!</v>
      </c>
    </row>
    <row r="57" spans="1:14" x14ac:dyDescent="0.25">
      <c r="A57" t="s">
        <v>239</v>
      </c>
      <c r="B57" s="49"/>
      <c r="G57" s="48"/>
      <c r="J57" t="str">
        <f>IFERROR(VLOOKUP(Tasks[[#This Row],[Risk ID]],RiskRegister[#All],2,FALSE),"Error!")</f>
        <v>Error!</v>
      </c>
      <c r="K57" t="str">
        <f t="shared" ca="1" si="1"/>
        <v>Error</v>
      </c>
      <c r="N57" t="str">
        <f>Tasks[[#This Row],[Risk ID]]&amp;" - " &amp;Tasks[[#This Row],[Risk Title]]</f>
        <v xml:space="preserve"> - Error!</v>
      </c>
    </row>
    <row r="58" spans="1:14" x14ac:dyDescent="0.25">
      <c r="A58" t="s">
        <v>240</v>
      </c>
      <c r="B58" s="49"/>
      <c r="G58" s="48"/>
      <c r="J58" t="str">
        <f>IFERROR(VLOOKUP(Tasks[[#This Row],[Risk ID]],RiskRegister[#All],2,FALSE),"Error!")</f>
        <v>Error!</v>
      </c>
      <c r="K58" t="str">
        <f t="shared" ca="1" si="1"/>
        <v>Error</v>
      </c>
      <c r="N58" t="str">
        <f>Tasks[[#This Row],[Risk ID]]&amp;" - " &amp;Tasks[[#This Row],[Risk Title]]</f>
        <v xml:space="preserve"> - Error!</v>
      </c>
    </row>
    <row r="59" spans="1:14" x14ac:dyDescent="0.25">
      <c r="A59" t="s">
        <v>241</v>
      </c>
      <c r="B59" s="49"/>
      <c r="G59" s="48"/>
      <c r="J59" t="str">
        <f>IFERROR(VLOOKUP(Tasks[[#This Row],[Risk ID]],RiskRegister[#All],2,FALSE),"Error!")</f>
        <v>Error!</v>
      </c>
      <c r="K59" t="str">
        <f t="shared" ca="1" si="1"/>
        <v>Error</v>
      </c>
      <c r="N59" t="str">
        <f>Tasks[[#This Row],[Risk ID]]&amp;" - " &amp;Tasks[[#This Row],[Risk Title]]</f>
        <v xml:space="preserve"> - Error!</v>
      </c>
    </row>
    <row r="60" spans="1:14" x14ac:dyDescent="0.25">
      <c r="A60" t="s">
        <v>242</v>
      </c>
      <c r="B60" s="49"/>
      <c r="G60" s="48"/>
      <c r="J60" t="str">
        <f>IFERROR(VLOOKUP(Tasks[[#This Row],[Risk ID]],RiskRegister[#All],2,FALSE),"Error!")</f>
        <v>Error!</v>
      </c>
      <c r="K60" t="str">
        <f t="shared" ca="1" si="1"/>
        <v>Error</v>
      </c>
      <c r="N60" t="str">
        <f>Tasks[[#This Row],[Risk ID]]&amp;" - " &amp;Tasks[[#This Row],[Risk Title]]</f>
        <v xml:space="preserve"> - Error!</v>
      </c>
    </row>
    <row r="61" spans="1:14" x14ac:dyDescent="0.25">
      <c r="A61" t="s">
        <v>243</v>
      </c>
      <c r="B61" s="49"/>
      <c r="G61" s="48"/>
      <c r="J61" t="str">
        <f>IFERROR(VLOOKUP(Tasks[[#This Row],[Risk ID]],RiskRegister[#All],2,FALSE),"Error!")</f>
        <v>Error!</v>
      </c>
      <c r="K61" t="str">
        <f t="shared" ca="1" si="1"/>
        <v>Error</v>
      </c>
      <c r="N61" t="str">
        <f>Tasks[[#This Row],[Risk ID]]&amp;" - " &amp;Tasks[[#This Row],[Risk Title]]</f>
        <v xml:space="preserve"> - Error!</v>
      </c>
    </row>
    <row r="62" spans="1:14" x14ac:dyDescent="0.25">
      <c r="A62" t="s">
        <v>244</v>
      </c>
      <c r="B62" s="49"/>
      <c r="G62" s="48"/>
      <c r="J62" t="str">
        <f>IFERROR(VLOOKUP(Tasks[[#This Row],[Risk ID]],RiskRegister[#All],2,FALSE),"Error!")</f>
        <v>Error!</v>
      </c>
      <c r="K62" t="str">
        <f t="shared" ca="1" si="1"/>
        <v>Error</v>
      </c>
      <c r="N62" t="str">
        <f>Tasks[[#This Row],[Risk ID]]&amp;" - " &amp;Tasks[[#This Row],[Risk Title]]</f>
        <v xml:space="preserve"> - Error!</v>
      </c>
    </row>
    <row r="63" spans="1:14" x14ac:dyDescent="0.25">
      <c r="A63" t="s">
        <v>245</v>
      </c>
      <c r="B63" s="49"/>
      <c r="G63" s="48"/>
      <c r="J63" t="str">
        <f>IFERROR(VLOOKUP(Tasks[[#This Row],[Risk ID]],RiskRegister[#All],2,FALSE),"Error!")</f>
        <v>Error!</v>
      </c>
      <c r="K63" t="str">
        <f t="shared" ca="1" si="1"/>
        <v>Error</v>
      </c>
      <c r="N63" t="str">
        <f>Tasks[[#This Row],[Risk ID]]&amp;" - " &amp;Tasks[[#This Row],[Risk Title]]</f>
        <v xml:space="preserve"> - Error!</v>
      </c>
    </row>
    <row r="64" spans="1:14" x14ac:dyDescent="0.25">
      <c r="A64" t="s">
        <v>246</v>
      </c>
      <c r="B64" s="49"/>
      <c r="G64" s="48"/>
      <c r="J64" t="str">
        <f>IFERROR(VLOOKUP(Tasks[[#This Row],[Risk ID]],RiskRegister[#All],2,FALSE),"Error!")</f>
        <v>Error!</v>
      </c>
      <c r="K64" t="str">
        <f t="shared" ca="1" si="1"/>
        <v>Error</v>
      </c>
      <c r="N64" t="str">
        <f>Tasks[[#This Row],[Risk ID]]&amp;" - " &amp;Tasks[[#This Row],[Risk Title]]</f>
        <v xml:space="preserve"> - Error!</v>
      </c>
    </row>
    <row r="65" spans="1:14" x14ac:dyDescent="0.25">
      <c r="A65" t="s">
        <v>247</v>
      </c>
      <c r="B65" s="49"/>
      <c r="G65" s="48"/>
      <c r="J65" t="str">
        <f>IFERROR(VLOOKUP(Tasks[[#This Row],[Risk ID]],RiskRegister[#All],2,FALSE),"Error!")</f>
        <v>Error!</v>
      </c>
      <c r="K65" t="str">
        <f t="shared" ca="1" si="1"/>
        <v>Error</v>
      </c>
      <c r="N65" t="str">
        <f>Tasks[[#This Row],[Risk ID]]&amp;" - " &amp;Tasks[[#This Row],[Risk Title]]</f>
        <v xml:space="preserve"> - Error!</v>
      </c>
    </row>
    <row r="66" spans="1:14" x14ac:dyDescent="0.25">
      <c r="A66" t="s">
        <v>248</v>
      </c>
      <c r="B66" s="49"/>
      <c r="G66" s="48"/>
      <c r="J66" t="str">
        <f>IFERROR(VLOOKUP(Tasks[[#This Row],[Risk ID]],RiskRegister[#All],2,FALSE),"Error!")</f>
        <v>Error!</v>
      </c>
      <c r="K66" t="str">
        <f t="shared" ca="1" si="1"/>
        <v>Error</v>
      </c>
      <c r="N66" t="str">
        <f>Tasks[[#This Row],[Risk ID]]&amp;" - " &amp;Tasks[[#This Row],[Risk Title]]</f>
        <v xml:space="preserve"> - Error!</v>
      </c>
    </row>
    <row r="67" spans="1:14" x14ac:dyDescent="0.25">
      <c r="A67" t="s">
        <v>249</v>
      </c>
      <c r="B67" s="49"/>
      <c r="G67" s="48"/>
      <c r="J67" t="str">
        <f>IFERROR(VLOOKUP(Tasks[[#This Row],[Risk ID]],RiskRegister[#All],2,FALSE),"Error!")</f>
        <v>Error!</v>
      </c>
      <c r="K67" t="str">
        <f t="shared" ca="1" si="1"/>
        <v>Error</v>
      </c>
      <c r="N67" t="str">
        <f>Tasks[[#This Row],[Risk ID]]&amp;" - " &amp;Tasks[[#This Row],[Risk Title]]</f>
        <v xml:space="preserve"> - Error!</v>
      </c>
    </row>
    <row r="68" spans="1:14" x14ac:dyDescent="0.25">
      <c r="A68" t="s">
        <v>250</v>
      </c>
      <c r="B68" s="49"/>
      <c r="G68" s="48"/>
      <c r="J68" t="str">
        <f>IFERROR(VLOOKUP(Tasks[[#This Row],[Risk ID]],RiskRegister[#All],2,FALSE),"Error!")</f>
        <v>Error!</v>
      </c>
      <c r="K68" t="str">
        <f t="shared" ref="K68:K103" ca="1" si="2">IF(OR(F68="", G68=""), "Error", IF(AND(F68&lt;&gt;"Closed", G68&lt;=TODAY()), "Yes", "No"))</f>
        <v>Error</v>
      </c>
      <c r="N68" t="str">
        <f>Tasks[[#This Row],[Risk ID]]&amp;" - " &amp;Tasks[[#This Row],[Risk Title]]</f>
        <v xml:space="preserve"> - Error!</v>
      </c>
    </row>
    <row r="69" spans="1:14" x14ac:dyDescent="0.25">
      <c r="A69" t="s">
        <v>251</v>
      </c>
      <c r="B69" s="49"/>
      <c r="G69" s="48"/>
      <c r="J69" t="str">
        <f>IFERROR(VLOOKUP(Tasks[[#This Row],[Risk ID]],RiskRegister[#All],2,FALSE),"Error!")</f>
        <v>Error!</v>
      </c>
      <c r="K69" t="str">
        <f t="shared" ca="1" si="2"/>
        <v>Error</v>
      </c>
      <c r="N69" t="str">
        <f>Tasks[[#This Row],[Risk ID]]&amp;" - " &amp;Tasks[[#This Row],[Risk Title]]</f>
        <v xml:space="preserve"> - Error!</v>
      </c>
    </row>
    <row r="70" spans="1:14" x14ac:dyDescent="0.25">
      <c r="A70" t="s">
        <v>252</v>
      </c>
      <c r="B70" s="49"/>
      <c r="G70" s="48"/>
      <c r="J70" t="str">
        <f>IFERROR(VLOOKUP(Tasks[[#This Row],[Risk ID]],RiskRegister[#All],2,FALSE),"Error!")</f>
        <v>Error!</v>
      </c>
      <c r="K70" t="str">
        <f t="shared" ca="1" si="2"/>
        <v>Error</v>
      </c>
      <c r="N70" t="str">
        <f>Tasks[[#This Row],[Risk ID]]&amp;" - " &amp;Tasks[[#This Row],[Risk Title]]</f>
        <v xml:space="preserve"> - Error!</v>
      </c>
    </row>
    <row r="71" spans="1:14" x14ac:dyDescent="0.25">
      <c r="A71" t="s">
        <v>253</v>
      </c>
      <c r="B71" s="49"/>
      <c r="G71" s="48"/>
      <c r="J71" t="str">
        <f>IFERROR(VLOOKUP(Tasks[[#This Row],[Risk ID]],RiskRegister[#All],2,FALSE),"Error!")</f>
        <v>Error!</v>
      </c>
      <c r="K71" t="str">
        <f t="shared" ca="1" si="2"/>
        <v>Error</v>
      </c>
      <c r="N71" t="str">
        <f>Tasks[[#This Row],[Risk ID]]&amp;" - " &amp;Tasks[[#This Row],[Risk Title]]</f>
        <v xml:space="preserve"> - Error!</v>
      </c>
    </row>
    <row r="72" spans="1:14" x14ac:dyDescent="0.25">
      <c r="A72" t="s">
        <v>254</v>
      </c>
      <c r="B72" s="49"/>
      <c r="G72" s="48"/>
      <c r="J72" t="str">
        <f>IFERROR(VLOOKUP(Tasks[[#This Row],[Risk ID]],RiskRegister[#All],2,FALSE),"Error!")</f>
        <v>Error!</v>
      </c>
      <c r="K72" t="str">
        <f t="shared" ca="1" si="2"/>
        <v>Error</v>
      </c>
      <c r="N72" t="str">
        <f>Tasks[[#This Row],[Risk ID]]&amp;" - " &amp;Tasks[[#This Row],[Risk Title]]</f>
        <v xml:space="preserve"> - Error!</v>
      </c>
    </row>
    <row r="73" spans="1:14" x14ac:dyDescent="0.25">
      <c r="A73" t="s">
        <v>255</v>
      </c>
      <c r="B73" s="49"/>
      <c r="G73" s="48"/>
      <c r="J73" t="str">
        <f>IFERROR(VLOOKUP(Tasks[[#This Row],[Risk ID]],RiskRegister[#All],2,FALSE),"Error!")</f>
        <v>Error!</v>
      </c>
      <c r="K73" t="str">
        <f t="shared" ca="1" si="2"/>
        <v>Error</v>
      </c>
      <c r="N73" t="str">
        <f>Tasks[[#This Row],[Risk ID]]&amp;" - " &amp;Tasks[[#This Row],[Risk Title]]</f>
        <v xml:space="preserve"> - Error!</v>
      </c>
    </row>
    <row r="74" spans="1:14" x14ac:dyDescent="0.25">
      <c r="A74" t="s">
        <v>256</v>
      </c>
      <c r="B74" s="49"/>
      <c r="G74" s="48"/>
      <c r="J74" t="str">
        <f>IFERROR(VLOOKUP(Tasks[[#This Row],[Risk ID]],RiskRegister[#All],2,FALSE),"Error!")</f>
        <v>Error!</v>
      </c>
      <c r="K74" t="str">
        <f t="shared" ca="1" si="2"/>
        <v>Error</v>
      </c>
      <c r="N74" t="str">
        <f>Tasks[[#This Row],[Risk ID]]&amp;" - " &amp;Tasks[[#This Row],[Risk Title]]</f>
        <v xml:space="preserve"> - Error!</v>
      </c>
    </row>
    <row r="75" spans="1:14" x14ac:dyDescent="0.25">
      <c r="A75" t="s">
        <v>257</v>
      </c>
      <c r="B75" s="49"/>
      <c r="G75" s="48"/>
      <c r="J75" t="str">
        <f>IFERROR(VLOOKUP(Tasks[[#This Row],[Risk ID]],RiskRegister[#All],2,FALSE),"Error!")</f>
        <v>Error!</v>
      </c>
      <c r="K75" t="str">
        <f t="shared" ca="1" si="2"/>
        <v>Error</v>
      </c>
      <c r="N75" t="str">
        <f>Tasks[[#This Row],[Risk ID]]&amp;" - " &amp;Tasks[[#This Row],[Risk Title]]</f>
        <v xml:space="preserve"> - Error!</v>
      </c>
    </row>
    <row r="76" spans="1:14" x14ac:dyDescent="0.25">
      <c r="A76" t="s">
        <v>258</v>
      </c>
      <c r="B76" s="49"/>
      <c r="G76" s="48"/>
      <c r="J76" t="str">
        <f>IFERROR(VLOOKUP(Tasks[[#This Row],[Risk ID]],RiskRegister[#All],2,FALSE),"Error!")</f>
        <v>Error!</v>
      </c>
      <c r="K76" t="str">
        <f t="shared" ca="1" si="2"/>
        <v>Error</v>
      </c>
      <c r="N76" t="str">
        <f>Tasks[[#This Row],[Risk ID]]&amp;" - " &amp;Tasks[[#This Row],[Risk Title]]</f>
        <v xml:space="preserve"> - Error!</v>
      </c>
    </row>
    <row r="77" spans="1:14" x14ac:dyDescent="0.25">
      <c r="A77" t="s">
        <v>259</v>
      </c>
      <c r="B77" s="49"/>
      <c r="G77" s="48"/>
      <c r="J77" t="str">
        <f>IFERROR(VLOOKUP(Tasks[[#This Row],[Risk ID]],RiskRegister[#All],2,FALSE),"Error!")</f>
        <v>Error!</v>
      </c>
      <c r="K77" t="str">
        <f t="shared" ca="1" si="2"/>
        <v>Error</v>
      </c>
      <c r="N77" t="str">
        <f>Tasks[[#This Row],[Risk ID]]&amp;" - " &amp;Tasks[[#This Row],[Risk Title]]</f>
        <v xml:space="preserve"> - Error!</v>
      </c>
    </row>
    <row r="78" spans="1:14" x14ac:dyDescent="0.25">
      <c r="A78" t="s">
        <v>260</v>
      </c>
      <c r="B78" s="49"/>
      <c r="G78" s="48"/>
      <c r="J78" t="str">
        <f>IFERROR(VLOOKUP(Tasks[[#This Row],[Risk ID]],RiskRegister[#All],2,FALSE),"Error!")</f>
        <v>Error!</v>
      </c>
      <c r="K78" t="str">
        <f t="shared" ca="1" si="2"/>
        <v>Error</v>
      </c>
      <c r="N78" t="str">
        <f>Tasks[[#This Row],[Risk ID]]&amp;" - " &amp;Tasks[[#This Row],[Risk Title]]</f>
        <v xml:space="preserve"> - Error!</v>
      </c>
    </row>
    <row r="79" spans="1:14" x14ac:dyDescent="0.25">
      <c r="A79" t="s">
        <v>261</v>
      </c>
      <c r="B79" s="49"/>
      <c r="G79" s="48"/>
      <c r="J79" t="str">
        <f>IFERROR(VLOOKUP(Tasks[[#This Row],[Risk ID]],RiskRegister[#All],2,FALSE),"Error!")</f>
        <v>Error!</v>
      </c>
      <c r="K79" t="str">
        <f t="shared" ca="1" si="2"/>
        <v>Error</v>
      </c>
      <c r="N79" t="str">
        <f>Tasks[[#This Row],[Risk ID]]&amp;" - " &amp;Tasks[[#This Row],[Risk Title]]</f>
        <v xml:space="preserve"> - Error!</v>
      </c>
    </row>
    <row r="80" spans="1:14" x14ac:dyDescent="0.25">
      <c r="A80" t="s">
        <v>262</v>
      </c>
      <c r="B80" s="49"/>
      <c r="G80" s="48"/>
      <c r="J80" t="str">
        <f>IFERROR(VLOOKUP(Tasks[[#This Row],[Risk ID]],RiskRegister[#All],2,FALSE),"Error!")</f>
        <v>Error!</v>
      </c>
      <c r="K80" t="str">
        <f t="shared" ca="1" si="2"/>
        <v>Error</v>
      </c>
      <c r="N80" t="str">
        <f>Tasks[[#This Row],[Risk ID]]&amp;" - " &amp;Tasks[[#This Row],[Risk Title]]</f>
        <v xml:space="preserve"> - Error!</v>
      </c>
    </row>
    <row r="81" spans="1:14" x14ac:dyDescent="0.25">
      <c r="A81" t="s">
        <v>263</v>
      </c>
      <c r="B81" s="49"/>
      <c r="G81" s="48"/>
      <c r="J81" t="str">
        <f>IFERROR(VLOOKUP(Tasks[[#This Row],[Risk ID]],RiskRegister[#All],2,FALSE),"Error!")</f>
        <v>Error!</v>
      </c>
      <c r="K81" t="str">
        <f t="shared" ca="1" si="2"/>
        <v>Error</v>
      </c>
      <c r="N81" t="str">
        <f>Tasks[[#This Row],[Risk ID]]&amp;" - " &amp;Tasks[[#This Row],[Risk Title]]</f>
        <v xml:space="preserve"> - Error!</v>
      </c>
    </row>
    <row r="82" spans="1:14" x14ac:dyDescent="0.25">
      <c r="A82" t="s">
        <v>264</v>
      </c>
      <c r="B82" s="49"/>
      <c r="G82" s="48"/>
      <c r="J82" t="str">
        <f>IFERROR(VLOOKUP(Tasks[[#This Row],[Risk ID]],RiskRegister[#All],2,FALSE),"Error!")</f>
        <v>Error!</v>
      </c>
      <c r="K82" t="str">
        <f t="shared" ca="1" si="2"/>
        <v>Error</v>
      </c>
      <c r="N82" t="str">
        <f>Tasks[[#This Row],[Risk ID]]&amp;" - " &amp;Tasks[[#This Row],[Risk Title]]</f>
        <v xml:space="preserve"> - Error!</v>
      </c>
    </row>
    <row r="83" spans="1:14" x14ac:dyDescent="0.25">
      <c r="A83" t="s">
        <v>265</v>
      </c>
      <c r="B83" s="49"/>
      <c r="G83" s="48"/>
      <c r="J83" t="str">
        <f>IFERROR(VLOOKUP(Tasks[[#This Row],[Risk ID]],RiskRegister[#All],2,FALSE),"Error!")</f>
        <v>Error!</v>
      </c>
      <c r="K83" t="str">
        <f t="shared" ca="1" si="2"/>
        <v>Error</v>
      </c>
      <c r="N83" t="str">
        <f>Tasks[[#This Row],[Risk ID]]&amp;" - " &amp;Tasks[[#This Row],[Risk Title]]</f>
        <v xml:space="preserve"> - Error!</v>
      </c>
    </row>
    <row r="84" spans="1:14" x14ac:dyDescent="0.25">
      <c r="A84" t="s">
        <v>266</v>
      </c>
      <c r="B84" s="49"/>
      <c r="G84" s="48"/>
      <c r="J84" t="str">
        <f>IFERROR(VLOOKUP(Tasks[[#This Row],[Risk ID]],RiskRegister[#All],2,FALSE),"Error!")</f>
        <v>Error!</v>
      </c>
      <c r="K84" t="str">
        <f t="shared" ca="1" si="2"/>
        <v>Error</v>
      </c>
      <c r="N84" t="str">
        <f>Tasks[[#This Row],[Risk ID]]&amp;" - " &amp;Tasks[[#This Row],[Risk Title]]</f>
        <v xml:space="preserve"> - Error!</v>
      </c>
    </row>
    <row r="85" spans="1:14" x14ac:dyDescent="0.25">
      <c r="A85" t="s">
        <v>267</v>
      </c>
      <c r="B85" s="49"/>
      <c r="G85" s="48"/>
      <c r="J85" t="str">
        <f>IFERROR(VLOOKUP(Tasks[[#This Row],[Risk ID]],RiskRegister[#All],2,FALSE),"Error!")</f>
        <v>Error!</v>
      </c>
      <c r="K85" t="str">
        <f t="shared" ca="1" si="2"/>
        <v>Error</v>
      </c>
      <c r="N85" t="str">
        <f>Tasks[[#This Row],[Risk ID]]&amp;" - " &amp;Tasks[[#This Row],[Risk Title]]</f>
        <v xml:space="preserve"> - Error!</v>
      </c>
    </row>
    <row r="86" spans="1:14" x14ac:dyDescent="0.25">
      <c r="A86" t="s">
        <v>268</v>
      </c>
      <c r="B86" s="49"/>
      <c r="G86" s="48"/>
      <c r="J86" t="str">
        <f>IFERROR(VLOOKUP(Tasks[[#This Row],[Risk ID]],RiskRegister[#All],2,FALSE),"Error!")</f>
        <v>Error!</v>
      </c>
      <c r="K86" t="str">
        <f t="shared" ca="1" si="2"/>
        <v>Error</v>
      </c>
      <c r="N86" t="str">
        <f>Tasks[[#This Row],[Risk ID]]&amp;" - " &amp;Tasks[[#This Row],[Risk Title]]</f>
        <v xml:space="preserve"> - Error!</v>
      </c>
    </row>
    <row r="87" spans="1:14" x14ac:dyDescent="0.25">
      <c r="A87" t="s">
        <v>269</v>
      </c>
      <c r="B87" s="49"/>
      <c r="G87" s="48"/>
      <c r="J87" t="str">
        <f>IFERROR(VLOOKUP(Tasks[[#This Row],[Risk ID]],RiskRegister[#All],2,FALSE),"Error!")</f>
        <v>Error!</v>
      </c>
      <c r="K87" t="str">
        <f t="shared" ca="1" si="2"/>
        <v>Error</v>
      </c>
      <c r="N87" t="str">
        <f>Tasks[[#This Row],[Risk ID]]&amp;" - " &amp;Tasks[[#This Row],[Risk Title]]</f>
        <v xml:space="preserve"> - Error!</v>
      </c>
    </row>
    <row r="88" spans="1:14" x14ac:dyDescent="0.25">
      <c r="A88" t="s">
        <v>270</v>
      </c>
      <c r="B88" s="49"/>
      <c r="G88" s="48"/>
      <c r="J88" t="str">
        <f>IFERROR(VLOOKUP(Tasks[[#This Row],[Risk ID]],RiskRegister[#All],2,FALSE),"Error!")</f>
        <v>Error!</v>
      </c>
      <c r="K88" t="str">
        <f t="shared" ca="1" si="2"/>
        <v>Error</v>
      </c>
      <c r="N88" t="str">
        <f>Tasks[[#This Row],[Risk ID]]&amp;" - " &amp;Tasks[[#This Row],[Risk Title]]</f>
        <v xml:space="preserve"> - Error!</v>
      </c>
    </row>
    <row r="89" spans="1:14" x14ac:dyDescent="0.25">
      <c r="A89" t="s">
        <v>271</v>
      </c>
      <c r="B89" s="49"/>
      <c r="G89" s="48"/>
      <c r="J89" t="str">
        <f>IFERROR(VLOOKUP(Tasks[[#This Row],[Risk ID]],RiskRegister[#All],2,FALSE),"Error!")</f>
        <v>Error!</v>
      </c>
      <c r="K89" t="str">
        <f t="shared" ca="1" si="2"/>
        <v>Error</v>
      </c>
      <c r="N89" t="str">
        <f>Tasks[[#This Row],[Risk ID]]&amp;" - " &amp;Tasks[[#This Row],[Risk Title]]</f>
        <v xml:space="preserve"> - Error!</v>
      </c>
    </row>
    <row r="90" spans="1:14" x14ac:dyDescent="0.25">
      <c r="A90" t="s">
        <v>272</v>
      </c>
      <c r="B90" s="49"/>
      <c r="G90" s="48"/>
      <c r="J90" t="str">
        <f>IFERROR(VLOOKUP(Tasks[[#This Row],[Risk ID]],RiskRegister[#All],2,FALSE),"Error!")</f>
        <v>Error!</v>
      </c>
      <c r="K90" t="str">
        <f t="shared" ca="1" si="2"/>
        <v>Error</v>
      </c>
      <c r="N90" t="str">
        <f>Tasks[[#This Row],[Risk ID]]&amp;" - " &amp;Tasks[[#This Row],[Risk Title]]</f>
        <v xml:space="preserve"> - Error!</v>
      </c>
    </row>
    <row r="91" spans="1:14" x14ac:dyDescent="0.25">
      <c r="A91" t="s">
        <v>273</v>
      </c>
      <c r="B91" s="49"/>
      <c r="G91" s="48"/>
      <c r="J91" t="str">
        <f>IFERROR(VLOOKUP(Tasks[[#This Row],[Risk ID]],RiskRegister[#All],2,FALSE),"Error!")</f>
        <v>Error!</v>
      </c>
      <c r="K91" t="str">
        <f t="shared" ca="1" si="2"/>
        <v>Error</v>
      </c>
      <c r="N91" t="str">
        <f>Tasks[[#This Row],[Risk ID]]&amp;" - " &amp;Tasks[[#This Row],[Risk Title]]</f>
        <v xml:space="preserve"> - Error!</v>
      </c>
    </row>
    <row r="92" spans="1:14" x14ac:dyDescent="0.25">
      <c r="A92" t="s">
        <v>274</v>
      </c>
      <c r="B92" s="49"/>
      <c r="G92" s="48"/>
      <c r="J92" t="str">
        <f>IFERROR(VLOOKUP(Tasks[[#This Row],[Risk ID]],RiskRegister[#All],2,FALSE),"Error!")</f>
        <v>Error!</v>
      </c>
      <c r="K92" t="str">
        <f t="shared" ca="1" si="2"/>
        <v>Error</v>
      </c>
      <c r="N92" t="str">
        <f>Tasks[[#This Row],[Risk ID]]&amp;" - " &amp;Tasks[[#This Row],[Risk Title]]</f>
        <v xml:space="preserve"> - Error!</v>
      </c>
    </row>
    <row r="93" spans="1:14" x14ac:dyDescent="0.25">
      <c r="A93" t="s">
        <v>275</v>
      </c>
      <c r="B93" s="49"/>
      <c r="G93" s="48"/>
      <c r="J93" t="str">
        <f>IFERROR(VLOOKUP(Tasks[[#This Row],[Risk ID]],RiskRegister[#All],2,FALSE),"Error!")</f>
        <v>Error!</v>
      </c>
      <c r="K93" t="str">
        <f t="shared" ca="1" si="2"/>
        <v>Error</v>
      </c>
      <c r="N93" t="str">
        <f>Tasks[[#This Row],[Risk ID]]&amp;" - " &amp;Tasks[[#This Row],[Risk Title]]</f>
        <v xml:space="preserve"> - Error!</v>
      </c>
    </row>
    <row r="94" spans="1:14" x14ac:dyDescent="0.25">
      <c r="A94" t="s">
        <v>276</v>
      </c>
      <c r="B94" s="49"/>
      <c r="G94" s="48"/>
      <c r="J94" t="str">
        <f>IFERROR(VLOOKUP(Tasks[[#This Row],[Risk ID]],RiskRegister[#All],2,FALSE),"Error!")</f>
        <v>Error!</v>
      </c>
      <c r="K94" t="str">
        <f t="shared" ca="1" si="2"/>
        <v>Error</v>
      </c>
      <c r="N94" t="str">
        <f>Tasks[[#This Row],[Risk ID]]&amp;" - " &amp;Tasks[[#This Row],[Risk Title]]</f>
        <v xml:space="preserve"> - Error!</v>
      </c>
    </row>
    <row r="95" spans="1:14" x14ac:dyDescent="0.25">
      <c r="A95" t="s">
        <v>277</v>
      </c>
      <c r="B95" s="49"/>
      <c r="G95" s="48"/>
      <c r="J95" t="str">
        <f>IFERROR(VLOOKUP(Tasks[[#This Row],[Risk ID]],RiskRegister[#All],2,FALSE),"Error!")</f>
        <v>Error!</v>
      </c>
      <c r="K95" t="str">
        <f ca="1">IF(OR(F94="", G95=""), "Error", IF(AND(F94&lt;&gt;"Closed", G95&lt;=TODAY()), "Yes", "No"))</f>
        <v>Error</v>
      </c>
      <c r="N95" t="str">
        <f>Tasks[[#This Row],[Risk ID]]&amp;" - " &amp;Tasks[[#This Row],[Risk Title]]</f>
        <v xml:space="preserve"> - Error!</v>
      </c>
    </row>
    <row r="96" spans="1:14" x14ac:dyDescent="0.25">
      <c r="A96" t="s">
        <v>278</v>
      </c>
      <c r="B96" s="49"/>
      <c r="G96" s="48"/>
      <c r="J96" t="str">
        <f>IFERROR(VLOOKUP(Tasks[[#This Row],[Risk ID]],RiskRegister[#All],2,FALSE),"Error!")</f>
        <v>Error!</v>
      </c>
      <c r="K96" t="str">
        <f t="shared" ca="1" si="2"/>
        <v>Error</v>
      </c>
      <c r="N96" t="str">
        <f>Tasks[[#This Row],[Risk ID]]&amp;" - " &amp;Tasks[[#This Row],[Risk Title]]</f>
        <v xml:space="preserve"> - Error!</v>
      </c>
    </row>
    <row r="97" spans="1:14" x14ac:dyDescent="0.25">
      <c r="A97" t="s">
        <v>279</v>
      </c>
      <c r="B97" s="49"/>
      <c r="G97" s="48"/>
      <c r="J97" t="str">
        <f>IFERROR(VLOOKUP(Tasks[[#This Row],[Risk ID]],RiskRegister[#All],2,FALSE),"Error!")</f>
        <v>Error!</v>
      </c>
      <c r="K97" t="str">
        <f t="shared" ca="1" si="2"/>
        <v>Error</v>
      </c>
      <c r="N97" t="str">
        <f>Tasks[[#This Row],[Risk ID]]&amp;" - " &amp;Tasks[[#This Row],[Risk Title]]</f>
        <v xml:space="preserve"> - Error!</v>
      </c>
    </row>
    <row r="98" spans="1:14" x14ac:dyDescent="0.25">
      <c r="A98" t="s">
        <v>280</v>
      </c>
      <c r="B98" s="49"/>
      <c r="G98" s="48"/>
      <c r="J98" t="str">
        <f>IFERROR(VLOOKUP(Tasks[[#This Row],[Risk ID]],RiskRegister[#All],2,FALSE),"Error!")</f>
        <v>Error!</v>
      </c>
      <c r="K98" t="str">
        <f t="shared" ca="1" si="2"/>
        <v>Error</v>
      </c>
      <c r="N98" t="str">
        <f>Tasks[[#This Row],[Risk ID]]&amp;" - " &amp;Tasks[[#This Row],[Risk Title]]</f>
        <v xml:space="preserve"> - Error!</v>
      </c>
    </row>
    <row r="99" spans="1:14" x14ac:dyDescent="0.25">
      <c r="A99" t="s">
        <v>281</v>
      </c>
      <c r="B99" s="49"/>
      <c r="G99" s="48"/>
      <c r="J99" t="str">
        <f>IFERROR(VLOOKUP(Tasks[[#This Row],[Risk ID]],RiskRegister[#All],2,FALSE),"Error!")</f>
        <v>Error!</v>
      </c>
      <c r="K99" t="str">
        <f t="shared" ca="1" si="2"/>
        <v>Error</v>
      </c>
      <c r="N99" t="str">
        <f>Tasks[[#This Row],[Risk ID]]&amp;" - " &amp;Tasks[[#This Row],[Risk Title]]</f>
        <v xml:space="preserve"> - Error!</v>
      </c>
    </row>
    <row r="100" spans="1:14" x14ac:dyDescent="0.25">
      <c r="A100" t="s">
        <v>282</v>
      </c>
      <c r="B100" s="49"/>
      <c r="G100" s="48"/>
      <c r="J100" t="str">
        <f>IFERROR(VLOOKUP(Tasks[[#This Row],[Risk ID]],RiskRegister[#All],2,FALSE),"Error!")</f>
        <v>Error!</v>
      </c>
      <c r="K100" t="str">
        <f t="shared" ca="1" si="2"/>
        <v>Error</v>
      </c>
      <c r="N100" t="str">
        <f>Tasks[[#This Row],[Risk ID]]&amp;" - " &amp;Tasks[[#This Row],[Risk Title]]</f>
        <v xml:space="preserve"> - Error!</v>
      </c>
    </row>
    <row r="101" spans="1:14" x14ac:dyDescent="0.25">
      <c r="A101" t="s">
        <v>283</v>
      </c>
      <c r="B101" s="49"/>
      <c r="G101" s="48"/>
      <c r="J101" t="str">
        <f>IFERROR(VLOOKUP(Tasks[[#This Row],[Risk ID]],RiskRegister[#All],2,FALSE),"Error!")</f>
        <v>Error!</v>
      </c>
      <c r="K101" t="str">
        <f t="shared" ca="1" si="2"/>
        <v>Error</v>
      </c>
      <c r="N101" t="str">
        <f>Tasks[[#This Row],[Risk ID]]&amp;" - " &amp;Tasks[[#This Row],[Risk Title]]</f>
        <v xml:space="preserve"> - Error!</v>
      </c>
    </row>
    <row r="102" spans="1:14" x14ac:dyDescent="0.25">
      <c r="A102" t="s">
        <v>284</v>
      </c>
      <c r="B102" s="49"/>
      <c r="G102" s="48"/>
      <c r="J102" t="str">
        <f>IFERROR(VLOOKUP(Tasks[[#This Row],[Risk ID]],RiskRegister[#All],2,FALSE),"Error!")</f>
        <v>Error!</v>
      </c>
      <c r="K102" t="str">
        <f t="shared" ca="1" si="2"/>
        <v>Error</v>
      </c>
      <c r="N102" t="str">
        <f>Tasks[[#This Row],[Risk ID]]&amp;" - " &amp;Tasks[[#This Row],[Risk Title]]</f>
        <v xml:space="preserve"> - Error!</v>
      </c>
    </row>
    <row r="103" spans="1:14" x14ac:dyDescent="0.25">
      <c r="A103" t="s">
        <v>285</v>
      </c>
      <c r="B103" s="49"/>
      <c r="G103" s="48"/>
      <c r="J103" t="str">
        <f>IFERROR(VLOOKUP(Tasks[[#This Row],[Risk ID]],RiskRegister[#All],2,FALSE),"Error!")</f>
        <v>Error!</v>
      </c>
      <c r="K103" t="str">
        <f t="shared" ca="1" si="2"/>
        <v>Error</v>
      </c>
      <c r="N103" t="str">
        <f>Tasks[[#This Row],[Risk ID]]&amp;" - " &amp;Tasks[[#This Row],[Risk Title]]</f>
        <v xml:space="preserve"> - Error!</v>
      </c>
    </row>
  </sheetData>
  <mergeCells count="2">
    <mergeCell ref="K2:Q2"/>
    <mergeCell ref="I2:J2"/>
  </mergeCells>
  <phoneticPr fontId="22" type="noConversion"/>
  <pageMargins left="0.7" right="0.7" top="0.75" bottom="0.75" header="0.3" footer="0.3"/>
  <pageSetup paperSize="9" orientation="portrait" horizontalDpi="0" verticalDpi="0"/>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D926FF11-B213-4544-A07E-5454681659B3}">
          <x14:formula1>
            <xm:f>Dropdowns!$C$19:$C$23</xm:f>
          </x14:formula1>
          <xm:sqref>F4:F103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512E8-1D36-422B-89F4-700616A91CD6}">
  <dimension ref="A2:I243"/>
  <sheetViews>
    <sheetView showGridLines="0" topLeftCell="A2" workbookViewId="0">
      <selection activeCell="C239" sqref="C239"/>
    </sheetView>
  </sheetViews>
  <sheetFormatPr defaultColWidth="9.140625" defaultRowHeight="14.25" x14ac:dyDescent="0.25"/>
  <cols>
    <col min="1" max="1" width="9.140625" style="28"/>
    <col min="2" max="4" width="20.7109375" style="28" customWidth="1"/>
    <col min="5" max="5" width="25.42578125" style="28" customWidth="1"/>
    <col min="6" max="8" width="15.85546875" style="28" customWidth="1"/>
    <col min="9" max="9" width="11.28515625" style="28" bestFit="1" customWidth="1"/>
    <col min="10" max="10" width="5.7109375" style="28" bestFit="1" customWidth="1"/>
    <col min="11" max="11" width="14" style="28" bestFit="1" customWidth="1"/>
    <col min="12" max="12" width="15.42578125" style="28" bestFit="1" customWidth="1"/>
    <col min="13" max="16384" width="9.140625" style="28"/>
  </cols>
  <sheetData>
    <row r="2" spans="1:9" ht="150" customHeight="1" x14ac:dyDescent="0.25"/>
    <row r="3" spans="1:9" ht="23.25" customHeight="1" x14ac:dyDescent="0.25">
      <c r="A3" s="27"/>
      <c r="B3" s="171" t="s">
        <v>128</v>
      </c>
      <c r="C3" s="171"/>
      <c r="D3" s="171"/>
      <c r="E3" s="171"/>
      <c r="F3" s="171"/>
      <c r="G3" s="171"/>
      <c r="H3" s="171"/>
      <c r="I3" s="171"/>
    </row>
    <row r="4" spans="1:9" ht="57.75" customHeight="1" x14ac:dyDescent="0.25">
      <c r="A4" s="29"/>
      <c r="B4" s="170" t="s">
        <v>131</v>
      </c>
      <c r="C4" s="172"/>
      <c r="D4" s="172"/>
      <c r="E4" s="172"/>
      <c r="F4" s="172"/>
      <c r="G4" s="172"/>
      <c r="H4" s="172"/>
      <c r="I4" s="172"/>
    </row>
    <row r="6" spans="1:9" ht="15" x14ac:dyDescent="0.25">
      <c r="E6" s="16"/>
      <c r="F6" s="16"/>
    </row>
    <row r="7" spans="1:9" ht="15" x14ac:dyDescent="0.25">
      <c r="B7" s="30" t="s">
        <v>80</v>
      </c>
      <c r="C7" s="16" t="s">
        <v>110</v>
      </c>
      <c r="E7" s="30" t="s">
        <v>84</v>
      </c>
      <c r="F7" s="16" t="s">
        <v>110</v>
      </c>
    </row>
    <row r="8" spans="1:9" ht="15" x14ac:dyDescent="0.25">
      <c r="B8" s="31" t="s">
        <v>12</v>
      </c>
      <c r="C8" s="16">
        <v>5</v>
      </c>
      <c r="E8" s="31">
        <v>3</v>
      </c>
      <c r="F8" s="16">
        <v>1</v>
      </c>
    </row>
    <row r="9" spans="1:9" ht="15" x14ac:dyDescent="0.25">
      <c r="B9" s="31" t="s">
        <v>14</v>
      </c>
      <c r="C9" s="16">
        <v>3</v>
      </c>
      <c r="D9" s="16"/>
      <c r="E9" s="31">
        <v>4</v>
      </c>
      <c r="F9" s="16">
        <v>2</v>
      </c>
      <c r="G9" s="16"/>
      <c r="H9" s="16"/>
      <c r="I9" s="16"/>
    </row>
    <row r="10" spans="1:9" ht="15" x14ac:dyDescent="0.25">
      <c r="B10" s="31" t="s">
        <v>13</v>
      </c>
      <c r="C10" s="16">
        <v>12</v>
      </c>
      <c r="D10" s="16"/>
      <c r="E10" s="31">
        <v>5</v>
      </c>
      <c r="F10" s="16">
        <v>3</v>
      </c>
      <c r="G10" s="16"/>
      <c r="H10" s="16"/>
      <c r="I10" s="16"/>
    </row>
    <row r="11" spans="1:9" ht="15" x14ac:dyDescent="0.25">
      <c r="B11" s="31" t="s">
        <v>0</v>
      </c>
      <c r="C11" s="16">
        <v>20</v>
      </c>
      <c r="D11" s="16"/>
      <c r="E11" s="31">
        <v>8</v>
      </c>
      <c r="F11" s="16">
        <v>1</v>
      </c>
      <c r="G11" s="16"/>
      <c r="H11" s="16"/>
      <c r="I11" s="16"/>
    </row>
    <row r="12" spans="1:9" ht="15" x14ac:dyDescent="0.25">
      <c r="B12"/>
      <c r="C12"/>
      <c r="D12" s="16"/>
      <c r="E12" s="31">
        <v>10</v>
      </c>
      <c r="F12" s="16">
        <v>2</v>
      </c>
      <c r="G12" s="16"/>
      <c r="H12" s="16"/>
      <c r="I12" s="16"/>
    </row>
    <row r="13" spans="1:9" ht="15" x14ac:dyDescent="0.25">
      <c r="D13" s="16"/>
      <c r="E13" s="31">
        <v>12</v>
      </c>
      <c r="F13" s="16">
        <v>1</v>
      </c>
    </row>
    <row r="14" spans="1:9" ht="15" x14ac:dyDescent="0.25">
      <c r="D14" s="16"/>
      <c r="E14" s="31">
        <v>15</v>
      </c>
      <c r="F14" s="16">
        <v>4</v>
      </c>
    </row>
    <row r="15" spans="1:9" ht="15" x14ac:dyDescent="0.25">
      <c r="D15" s="16"/>
      <c r="E15" s="31">
        <v>16</v>
      </c>
      <c r="F15" s="16">
        <v>1</v>
      </c>
    </row>
    <row r="16" spans="1:9" ht="15" x14ac:dyDescent="0.25">
      <c r="D16" s="16"/>
      <c r="E16" s="31">
        <v>20</v>
      </c>
      <c r="F16" s="16">
        <v>2</v>
      </c>
    </row>
    <row r="17" spans="1:9" ht="15" x14ac:dyDescent="0.25">
      <c r="D17" s="16"/>
      <c r="E17" s="31">
        <v>25</v>
      </c>
      <c r="F17" s="16">
        <v>3</v>
      </c>
    </row>
    <row r="18" spans="1:9" ht="15" x14ac:dyDescent="0.25">
      <c r="D18" s="16"/>
      <c r="E18" s="31" t="s">
        <v>0</v>
      </c>
      <c r="F18" s="16">
        <v>20</v>
      </c>
    </row>
    <row r="19" spans="1:9" ht="15" x14ac:dyDescent="0.25">
      <c r="D19" s="16"/>
    </row>
    <row r="20" spans="1:9" ht="15" x14ac:dyDescent="0.25">
      <c r="B20" s="16"/>
      <c r="C20" s="16"/>
      <c r="D20" s="16"/>
    </row>
    <row r="21" spans="1:9" ht="21" customHeight="1" x14ac:dyDescent="0.25">
      <c r="A21" s="27"/>
      <c r="B21" s="171" t="s">
        <v>129</v>
      </c>
      <c r="C21" s="171"/>
      <c r="D21" s="171"/>
      <c r="E21" s="171"/>
      <c r="F21" s="171"/>
      <c r="G21" s="171"/>
      <c r="H21" s="171"/>
      <c r="I21" s="171"/>
    </row>
    <row r="22" spans="1:9" x14ac:dyDescent="0.25">
      <c r="A22" s="29"/>
      <c r="B22" s="172" t="s">
        <v>127</v>
      </c>
      <c r="C22" s="172"/>
      <c r="D22" s="172"/>
      <c r="E22" s="172"/>
      <c r="F22" s="172"/>
      <c r="G22" s="172"/>
      <c r="H22" s="172"/>
      <c r="I22" s="172"/>
    </row>
    <row r="23" spans="1:9" ht="15" x14ac:dyDescent="0.25">
      <c r="B23" s="16"/>
      <c r="C23" s="16"/>
      <c r="D23" s="16"/>
    </row>
    <row r="24" spans="1:9" ht="15" x14ac:dyDescent="0.25">
      <c r="B24" s="16"/>
      <c r="C24" s="16"/>
      <c r="D24" s="16"/>
    </row>
    <row r="25" spans="1:9" ht="15" x14ac:dyDescent="0.25">
      <c r="B25" s="30" t="s">
        <v>85</v>
      </c>
      <c r="C25" s="16" t="s">
        <v>110</v>
      </c>
      <c r="D25" s="16"/>
      <c r="E25" s="30" t="s">
        <v>86</v>
      </c>
      <c r="F25" s="16" t="s">
        <v>110</v>
      </c>
    </row>
    <row r="26" spans="1:9" ht="15" x14ac:dyDescent="0.25">
      <c r="B26" s="31" t="s">
        <v>12</v>
      </c>
      <c r="C26" s="16">
        <v>1</v>
      </c>
      <c r="D26" s="16"/>
      <c r="E26" s="31">
        <v>2</v>
      </c>
      <c r="F26" s="16">
        <v>3</v>
      </c>
    </row>
    <row r="27" spans="1:9" ht="15" x14ac:dyDescent="0.25">
      <c r="B27" s="31" t="s">
        <v>13</v>
      </c>
      <c r="C27" s="16">
        <v>8</v>
      </c>
      <c r="D27" s="16"/>
      <c r="E27" s="31">
        <v>4</v>
      </c>
      <c r="F27" s="16">
        <v>7</v>
      </c>
    </row>
    <row r="28" spans="1:9" ht="15" x14ac:dyDescent="0.25">
      <c r="B28" s="31" t="s">
        <v>14</v>
      </c>
      <c r="C28" s="16">
        <v>11</v>
      </c>
      <c r="D28" s="16"/>
      <c r="E28" s="31">
        <v>5</v>
      </c>
      <c r="F28" s="16">
        <v>1</v>
      </c>
    </row>
    <row r="29" spans="1:9" ht="15" x14ac:dyDescent="0.25">
      <c r="B29" s="31" t="s">
        <v>126</v>
      </c>
      <c r="C29" s="16">
        <v>980</v>
      </c>
      <c r="D29" s="16"/>
      <c r="E29" s="31">
        <v>6</v>
      </c>
      <c r="F29" s="16">
        <v>1</v>
      </c>
    </row>
    <row r="30" spans="1:9" ht="15" x14ac:dyDescent="0.25">
      <c r="B30" s="31" t="s">
        <v>0</v>
      </c>
      <c r="C30" s="16">
        <v>1000</v>
      </c>
      <c r="E30" s="31">
        <v>8</v>
      </c>
      <c r="F30" s="16">
        <v>6</v>
      </c>
    </row>
    <row r="31" spans="1:9" ht="15" x14ac:dyDescent="0.25">
      <c r="E31" s="31">
        <v>25</v>
      </c>
      <c r="F31" s="16">
        <v>1</v>
      </c>
    </row>
    <row r="32" spans="1:9" ht="15" x14ac:dyDescent="0.25">
      <c r="E32" s="31" t="s">
        <v>0</v>
      </c>
      <c r="F32" s="16">
        <v>19</v>
      </c>
    </row>
    <row r="33" spans="1:9" ht="15" x14ac:dyDescent="0.25">
      <c r="E33"/>
      <c r="F33"/>
    </row>
    <row r="37" spans="1:9" x14ac:dyDescent="0.25">
      <c r="A37" s="27"/>
      <c r="B37" s="171" t="s">
        <v>109</v>
      </c>
      <c r="C37" s="171"/>
      <c r="D37" s="171"/>
      <c r="E37" s="171"/>
      <c r="F37" s="171"/>
      <c r="G37" s="171"/>
      <c r="H37" s="171"/>
      <c r="I37" s="171"/>
    </row>
    <row r="38" spans="1:9" x14ac:dyDescent="0.25">
      <c r="A38" s="29"/>
      <c r="B38" s="172" t="s">
        <v>113</v>
      </c>
      <c r="C38" s="172"/>
      <c r="D38" s="172"/>
      <c r="E38" s="172"/>
      <c r="F38" s="172"/>
      <c r="G38" s="172"/>
      <c r="H38" s="172"/>
      <c r="I38" s="172"/>
    </row>
    <row r="40" spans="1:9" ht="15" x14ac:dyDescent="0.25">
      <c r="C40" s="39" t="s">
        <v>111</v>
      </c>
      <c r="D40" s="39" t="s">
        <v>112</v>
      </c>
    </row>
    <row r="41" spans="1:9" ht="15" x14ac:dyDescent="0.25">
      <c r="B41" s="33" t="s">
        <v>12</v>
      </c>
      <c r="C41" s="35">
        <f>IFERROR(GETPIVOTDATA("Risk ID",$B$7,"Inherent Risk Level",B41),0)</f>
        <v>5</v>
      </c>
      <c r="D41" s="35">
        <f>IFERROR(GETPIVOTDATA("Risk ID",$B$25,"Residual Risk Level",B41), 0)</f>
        <v>1</v>
      </c>
    </row>
    <row r="42" spans="1:9" ht="15" x14ac:dyDescent="0.25">
      <c r="B42" s="33" t="s">
        <v>14</v>
      </c>
      <c r="C42" s="35">
        <f>IFERROR(GETPIVOTDATA("Risk ID",$B$7,"Inherent Risk Level",B42),0)</f>
        <v>3</v>
      </c>
      <c r="D42" s="35">
        <f>IFERROR(GETPIVOTDATA("Risk ID",$B$25,"Residual Risk Level",B42), 0)</f>
        <v>11</v>
      </c>
    </row>
    <row r="43" spans="1:9" ht="15" x14ac:dyDescent="0.25">
      <c r="B43" s="33" t="s">
        <v>13</v>
      </c>
      <c r="C43" s="35">
        <f>IFERROR(GETPIVOTDATA("Risk ID",$B$7,"Inherent Risk Level",B43),0)</f>
        <v>12</v>
      </c>
      <c r="D43" s="35">
        <f>IFERROR(GETPIVOTDATA("Risk ID",$B$25,"Residual Risk Level",B43), 0)</f>
        <v>8</v>
      </c>
    </row>
    <row r="45" spans="1:9" x14ac:dyDescent="0.25">
      <c r="A45" s="27"/>
      <c r="B45" s="171" t="s">
        <v>161</v>
      </c>
      <c r="C45" s="171"/>
      <c r="D45" s="171"/>
      <c r="E45" s="171"/>
      <c r="F45" s="171"/>
      <c r="G45" s="171"/>
      <c r="H45" s="171"/>
      <c r="I45" s="171"/>
    </row>
    <row r="46" spans="1:9" ht="40.5" customHeight="1" x14ac:dyDescent="0.25">
      <c r="A46" s="29"/>
      <c r="B46" s="170" t="s">
        <v>162</v>
      </c>
      <c r="C46" s="170"/>
      <c r="D46" s="170"/>
      <c r="E46" s="170"/>
      <c r="F46" s="170"/>
      <c r="G46" s="170"/>
      <c r="H46" s="170"/>
      <c r="I46" s="170"/>
    </row>
    <row r="48" spans="1:9" ht="15" x14ac:dyDescent="0.25">
      <c r="B48" s="30" t="s">
        <v>17</v>
      </c>
      <c r="C48" s="16" t="s">
        <v>110</v>
      </c>
    </row>
    <row r="49" spans="1:9" ht="15" x14ac:dyDescent="0.25">
      <c r="B49" s="31" t="s">
        <v>12</v>
      </c>
      <c r="C49" s="16">
        <v>5</v>
      </c>
    </row>
    <row r="50" spans="1:9" ht="15" x14ac:dyDescent="0.25">
      <c r="B50" s="31" t="s">
        <v>14</v>
      </c>
      <c r="C50" s="16">
        <v>3</v>
      </c>
    </row>
    <row r="51" spans="1:9" ht="15" x14ac:dyDescent="0.25">
      <c r="B51" s="31" t="s">
        <v>13</v>
      </c>
      <c r="C51" s="16">
        <v>12</v>
      </c>
    </row>
    <row r="52" spans="1:9" ht="15" x14ac:dyDescent="0.25">
      <c r="B52" s="31" t="s">
        <v>0</v>
      </c>
      <c r="C52" s="16">
        <v>20</v>
      </c>
    </row>
    <row r="53" spans="1:9" ht="15" x14ac:dyDescent="0.25">
      <c r="B53"/>
      <c r="C53"/>
    </row>
    <row r="54" spans="1:9" ht="15" x14ac:dyDescent="0.25">
      <c r="B54"/>
      <c r="C54"/>
    </row>
    <row r="55" spans="1:9" x14ac:dyDescent="0.25">
      <c r="A55" s="27"/>
      <c r="B55" s="171" t="s">
        <v>291</v>
      </c>
      <c r="C55" s="171"/>
      <c r="D55" s="171"/>
      <c r="E55" s="171"/>
      <c r="F55" s="171"/>
      <c r="G55" s="171"/>
      <c r="H55" s="171"/>
      <c r="I55" s="171"/>
    </row>
    <row r="56" spans="1:9" ht="40.5" customHeight="1" x14ac:dyDescent="0.25">
      <c r="A56" s="29"/>
      <c r="B56" s="170" t="s">
        <v>292</v>
      </c>
      <c r="C56" s="170"/>
      <c r="D56" s="170"/>
      <c r="E56" s="170"/>
      <c r="F56" s="170"/>
      <c r="G56" s="170"/>
      <c r="H56" s="170"/>
      <c r="I56" s="170"/>
    </row>
    <row r="59" spans="1:9" ht="15" x14ac:dyDescent="0.25">
      <c r="B59"/>
      <c r="C59"/>
    </row>
    <row r="60" spans="1:9" ht="15" x14ac:dyDescent="0.25">
      <c r="B60"/>
      <c r="C60"/>
    </row>
    <row r="61" spans="1:9" ht="15" x14ac:dyDescent="0.25">
      <c r="B61" s="30" t="s">
        <v>17</v>
      </c>
      <c r="C61" s="16" t="s">
        <v>110</v>
      </c>
      <c r="D61"/>
    </row>
    <row r="62" spans="1:9" ht="15" x14ac:dyDescent="0.25">
      <c r="B62" s="31" t="s">
        <v>12</v>
      </c>
      <c r="C62" s="16">
        <v>5</v>
      </c>
      <c r="D62"/>
    </row>
    <row r="63" spans="1:9" ht="15" x14ac:dyDescent="0.25">
      <c r="B63" s="31" t="s">
        <v>13</v>
      </c>
      <c r="C63" s="16">
        <v>12</v>
      </c>
      <c r="D63"/>
    </row>
    <row r="64" spans="1:9" ht="15" x14ac:dyDescent="0.25">
      <c r="B64" s="31" t="s">
        <v>0</v>
      </c>
      <c r="C64" s="16">
        <v>17</v>
      </c>
      <c r="D64"/>
      <c r="E64" s="39">
        <f>GETPIVOTDATA("Risk ID",$B$48,"Current Risk Level","High")+GETPIVOTDATA("Risk ID",$B$48,"Current Risk Level","Medium")</f>
        <v>17</v>
      </c>
      <c r="F64" s="53" t="str">
        <f>100*(GETPIVOTDATA("Risk ID",$B$48,"Current Risk Level","High")+GETPIVOTDATA("Risk ID",$B$48,"Current Risk Level","Medium"))/GETPIVOTDATA("Risk ID",$B$48) &amp; "%"</f>
        <v>85%</v>
      </c>
    </row>
    <row r="65" spans="1:9" ht="15" x14ac:dyDescent="0.25">
      <c r="B65"/>
      <c r="C65"/>
    </row>
    <row r="66" spans="1:9" ht="15" x14ac:dyDescent="0.25">
      <c r="B66"/>
      <c r="C66"/>
    </row>
    <row r="67" spans="1:9" ht="15" x14ac:dyDescent="0.25">
      <c r="B67"/>
      <c r="C67"/>
    </row>
    <row r="68" spans="1:9" x14ac:dyDescent="0.25">
      <c r="A68" s="27"/>
      <c r="B68" s="171" t="s">
        <v>163</v>
      </c>
      <c r="C68" s="171"/>
      <c r="D68" s="171"/>
      <c r="E68" s="171"/>
      <c r="F68" s="171"/>
      <c r="G68" s="171"/>
      <c r="H68" s="171"/>
      <c r="I68" s="171"/>
    </row>
    <row r="69" spans="1:9" ht="28.5" customHeight="1" x14ac:dyDescent="0.25">
      <c r="A69" s="29"/>
      <c r="B69" s="170" t="s">
        <v>167</v>
      </c>
      <c r="C69" s="170"/>
      <c r="D69" s="170"/>
      <c r="E69" s="170"/>
      <c r="F69" s="170"/>
      <c r="G69" s="170"/>
      <c r="H69" s="170"/>
      <c r="I69" s="170"/>
    </row>
    <row r="71" spans="1:9" ht="15" x14ac:dyDescent="0.25">
      <c r="B71" s="30" t="s">
        <v>164</v>
      </c>
      <c r="C71" s="16" t="s">
        <v>110</v>
      </c>
      <c r="D71"/>
      <c r="E71"/>
    </row>
    <row r="72" spans="1:9" ht="15" x14ac:dyDescent="0.25">
      <c r="B72" s="31" t="s">
        <v>165</v>
      </c>
      <c r="C72" s="44">
        <v>0.95</v>
      </c>
      <c r="D72"/>
      <c r="E72" s="46" t="s">
        <v>163</v>
      </c>
    </row>
    <row r="73" spans="1:9" ht="15" x14ac:dyDescent="0.25">
      <c r="B73" s="31" t="s">
        <v>166</v>
      </c>
      <c r="C73" s="44">
        <v>0.05</v>
      </c>
      <c r="D73"/>
      <c r="E73" s="45">
        <f>GETPIVOTDATA("Risk ID",$B$71,"Mitigated?","Yes")</f>
        <v>0.05</v>
      </c>
    </row>
    <row r="74" spans="1:9" ht="15" x14ac:dyDescent="0.25">
      <c r="B74" s="31" t="s">
        <v>0</v>
      </c>
      <c r="C74" s="44">
        <v>1</v>
      </c>
    </row>
    <row r="75" spans="1:9" ht="15" x14ac:dyDescent="0.25">
      <c r="B75"/>
      <c r="C75"/>
    </row>
    <row r="76" spans="1:9" ht="15" x14ac:dyDescent="0.25">
      <c r="B76"/>
      <c r="C76"/>
    </row>
    <row r="77" spans="1:9" ht="15" x14ac:dyDescent="0.25">
      <c r="B77" s="31"/>
      <c r="C77" s="16"/>
    </row>
    <row r="78" spans="1:9" x14ac:dyDescent="0.25">
      <c r="A78" s="27"/>
      <c r="B78" s="171" t="s">
        <v>119</v>
      </c>
      <c r="C78" s="171"/>
      <c r="D78" s="171"/>
      <c r="E78" s="171"/>
      <c r="F78" s="171"/>
      <c r="G78" s="171"/>
      <c r="H78" s="171"/>
      <c r="I78" s="171"/>
    </row>
    <row r="79" spans="1:9" x14ac:dyDescent="0.25">
      <c r="A79" s="29"/>
      <c r="B79" s="172" t="s">
        <v>116</v>
      </c>
      <c r="C79" s="172"/>
      <c r="D79" s="172"/>
      <c r="E79" s="172"/>
      <c r="F79" s="172"/>
      <c r="G79" s="172"/>
      <c r="H79" s="172"/>
      <c r="I79" s="172"/>
    </row>
    <row r="80" spans="1:9" ht="15" x14ac:dyDescent="0.25">
      <c r="B80" s="16"/>
      <c r="C80" s="16"/>
      <c r="D80" s="16"/>
    </row>
    <row r="81" spans="1:9" ht="15" x14ac:dyDescent="0.25">
      <c r="B81" s="16"/>
      <c r="C81" s="16"/>
      <c r="D81" s="16"/>
    </row>
    <row r="82" spans="1:9" ht="15" x14ac:dyDescent="0.25">
      <c r="B82" s="30" t="s">
        <v>17</v>
      </c>
      <c r="C82" s="16" t="s">
        <v>110</v>
      </c>
      <c r="D82" s="16"/>
    </row>
    <row r="83" spans="1:9" ht="15" x14ac:dyDescent="0.25">
      <c r="B83" s="31" t="s">
        <v>18</v>
      </c>
      <c r="C83" s="16">
        <v>4</v>
      </c>
      <c r="D83" s="16"/>
    </row>
    <row r="84" spans="1:9" ht="15" x14ac:dyDescent="0.25">
      <c r="B84" s="31" t="s">
        <v>115</v>
      </c>
      <c r="C84" s="16">
        <v>13</v>
      </c>
      <c r="D84" s="16"/>
    </row>
    <row r="85" spans="1:9" ht="15" x14ac:dyDescent="0.25">
      <c r="B85" s="31" t="s">
        <v>19</v>
      </c>
      <c r="C85" s="16">
        <v>3</v>
      </c>
      <c r="D85" s="16"/>
    </row>
    <row r="86" spans="1:9" ht="15" x14ac:dyDescent="0.25">
      <c r="B86" s="31" t="s">
        <v>0</v>
      </c>
      <c r="C86" s="16">
        <v>20</v>
      </c>
      <c r="D86" s="16"/>
    </row>
    <row r="87" spans="1:9" ht="15" x14ac:dyDescent="0.25">
      <c r="B87" s="16"/>
      <c r="C87" s="16"/>
    </row>
    <row r="88" spans="1:9" ht="15" x14ac:dyDescent="0.25">
      <c r="B88" s="16"/>
      <c r="C88" s="16"/>
    </row>
    <row r="89" spans="1:9" x14ac:dyDescent="0.25">
      <c r="A89" s="27"/>
      <c r="B89" s="171" t="s">
        <v>117</v>
      </c>
      <c r="C89" s="171"/>
      <c r="D89" s="171"/>
      <c r="E89" s="171"/>
      <c r="F89" s="171"/>
      <c r="G89" s="171"/>
      <c r="H89" s="171"/>
      <c r="I89" s="171"/>
    </row>
    <row r="90" spans="1:9" x14ac:dyDescent="0.25">
      <c r="A90" s="29"/>
      <c r="B90" s="172" t="s">
        <v>118</v>
      </c>
      <c r="C90" s="172"/>
      <c r="D90" s="172"/>
      <c r="E90" s="172"/>
      <c r="F90" s="172"/>
      <c r="G90" s="172"/>
      <c r="H90" s="172"/>
      <c r="I90" s="172"/>
    </row>
    <row r="91" spans="1:9" ht="15" x14ac:dyDescent="0.25">
      <c r="B91" s="16"/>
      <c r="C91" s="16"/>
    </row>
    <row r="92" spans="1:9" ht="15" x14ac:dyDescent="0.25">
      <c r="B92" s="32" t="s">
        <v>124</v>
      </c>
      <c r="C92" s="33">
        <f>GETPIVOTDATA("Risk ID",$B$82,"Risk Status","Open")+GETPIVOTDATA("Risk ID",$B$82,"Risk Status","In Progress")</f>
        <v>17</v>
      </c>
    </row>
    <row r="93" spans="1:9" ht="15" x14ac:dyDescent="0.25">
      <c r="B93" s="16"/>
      <c r="C93" s="16"/>
    </row>
    <row r="94" spans="1:9" ht="15" x14ac:dyDescent="0.25">
      <c r="B94" s="16"/>
      <c r="C94" s="16"/>
    </row>
    <row r="95" spans="1:9" x14ac:dyDescent="0.25">
      <c r="A95" s="27"/>
      <c r="B95" s="171" t="s">
        <v>120</v>
      </c>
      <c r="C95" s="171"/>
      <c r="D95" s="171"/>
      <c r="E95" s="171"/>
      <c r="F95" s="171"/>
      <c r="G95" s="171"/>
      <c r="H95" s="171"/>
      <c r="I95" s="171"/>
    </row>
    <row r="96" spans="1:9" x14ac:dyDescent="0.25">
      <c r="A96" s="29"/>
      <c r="B96" s="172" t="s">
        <v>121</v>
      </c>
      <c r="C96" s="172"/>
      <c r="D96" s="172"/>
      <c r="E96" s="172"/>
      <c r="F96" s="172"/>
      <c r="G96" s="172"/>
      <c r="H96" s="172"/>
      <c r="I96" s="172"/>
    </row>
    <row r="97" spans="1:9" ht="15" x14ac:dyDescent="0.25">
      <c r="B97" s="16"/>
      <c r="C97" s="16"/>
      <c r="D97" s="16"/>
    </row>
    <row r="98" spans="1:9" ht="15" x14ac:dyDescent="0.25">
      <c r="B98" s="16"/>
      <c r="C98" s="16"/>
      <c r="D98" s="16"/>
    </row>
    <row r="99" spans="1:9" ht="15" x14ac:dyDescent="0.25">
      <c r="B99" s="30" t="s">
        <v>110</v>
      </c>
      <c r="C99" s="30" t="s">
        <v>41</v>
      </c>
      <c r="D99" s="16"/>
      <c r="E99" s="16"/>
    </row>
    <row r="100" spans="1:9" ht="15" x14ac:dyDescent="0.25">
      <c r="B100" s="30" t="s">
        <v>17</v>
      </c>
      <c r="C100" s="38" t="s">
        <v>16</v>
      </c>
      <c r="D100" s="38" t="s">
        <v>23</v>
      </c>
      <c r="E100" s="38" t="s">
        <v>0</v>
      </c>
    </row>
    <row r="101" spans="1:9" ht="15" x14ac:dyDescent="0.25">
      <c r="B101" s="31" t="s">
        <v>18</v>
      </c>
      <c r="C101" s="38">
        <v>1</v>
      </c>
      <c r="D101" s="38">
        <v>3</v>
      </c>
      <c r="E101" s="38">
        <v>4</v>
      </c>
    </row>
    <row r="102" spans="1:9" ht="15" x14ac:dyDescent="0.25">
      <c r="B102" s="31" t="s">
        <v>115</v>
      </c>
      <c r="C102" s="38">
        <v>0</v>
      </c>
      <c r="D102" s="38">
        <v>13</v>
      </c>
      <c r="E102" s="38">
        <v>13</v>
      </c>
    </row>
    <row r="103" spans="1:9" ht="15" x14ac:dyDescent="0.25">
      <c r="B103" s="31" t="s">
        <v>19</v>
      </c>
      <c r="C103" s="38">
        <v>2</v>
      </c>
      <c r="D103" s="38">
        <v>1</v>
      </c>
      <c r="E103" s="38">
        <v>3</v>
      </c>
    </row>
    <row r="104" spans="1:9" ht="15" x14ac:dyDescent="0.25">
      <c r="B104" s="31" t="s">
        <v>0</v>
      </c>
      <c r="C104" s="38">
        <v>3</v>
      </c>
      <c r="D104" s="38">
        <v>17</v>
      </c>
      <c r="E104" s="38">
        <v>20</v>
      </c>
    </row>
    <row r="111" spans="1:9" x14ac:dyDescent="0.25">
      <c r="A111" s="27"/>
      <c r="B111" s="171" t="s">
        <v>293</v>
      </c>
      <c r="C111" s="171"/>
      <c r="D111" s="171"/>
      <c r="E111" s="171"/>
      <c r="F111" s="171"/>
      <c r="G111" s="171"/>
      <c r="H111" s="171"/>
      <c r="I111" s="171"/>
    </row>
    <row r="112" spans="1:9" x14ac:dyDescent="0.25">
      <c r="A112" s="29"/>
      <c r="B112" s="172" t="s">
        <v>294</v>
      </c>
      <c r="C112" s="172"/>
      <c r="D112" s="172"/>
      <c r="E112" s="172"/>
      <c r="F112" s="172"/>
      <c r="G112" s="172"/>
      <c r="H112" s="172"/>
      <c r="I112" s="172"/>
    </row>
    <row r="113" spans="1:9" ht="15" x14ac:dyDescent="0.25">
      <c r="B113" s="16"/>
      <c r="C113" s="16"/>
    </row>
    <row r="114" spans="1:9" ht="15" x14ac:dyDescent="0.25">
      <c r="B114" s="32" t="s">
        <v>295</v>
      </c>
      <c r="C114" s="34">
        <f>GETPIVOTDATA("Risk ID",$B$99,"Risk Response Strategy","Accept","Risk Status","Closed")</f>
        <v>2</v>
      </c>
    </row>
    <row r="115" spans="1:9" ht="15" x14ac:dyDescent="0.25">
      <c r="B115" s="32" t="s">
        <v>296</v>
      </c>
      <c r="C115" s="34" t="str">
        <f>100*C114/GETPIVOTDATA("Risk ID",$B$99) &amp; "%"</f>
        <v>10%</v>
      </c>
    </row>
    <row r="118" spans="1:9" x14ac:dyDescent="0.25">
      <c r="A118" s="27"/>
      <c r="B118" s="171" t="s">
        <v>299</v>
      </c>
      <c r="C118" s="171"/>
      <c r="D118" s="171"/>
      <c r="E118" s="171"/>
      <c r="F118" s="171"/>
      <c r="G118" s="171"/>
      <c r="H118" s="171"/>
      <c r="I118" s="171"/>
    </row>
    <row r="119" spans="1:9" x14ac:dyDescent="0.25">
      <c r="A119" s="29"/>
      <c r="B119" s="172" t="s">
        <v>300</v>
      </c>
      <c r="C119" s="172"/>
      <c r="D119" s="172"/>
      <c r="E119" s="172"/>
      <c r="F119" s="172"/>
      <c r="G119" s="172"/>
      <c r="H119" s="172"/>
      <c r="I119" s="172"/>
    </row>
    <row r="120" spans="1:9" x14ac:dyDescent="0.25">
      <c r="B120" s="54"/>
      <c r="C120" s="54"/>
      <c r="D120" s="54"/>
      <c r="E120" s="54"/>
      <c r="F120" s="54"/>
      <c r="G120" s="54"/>
      <c r="H120" s="54"/>
      <c r="I120" s="54"/>
    </row>
    <row r="121" spans="1:9" x14ac:dyDescent="0.25">
      <c r="B121" s="54"/>
      <c r="C121" s="54"/>
      <c r="D121" s="54"/>
      <c r="E121" s="54"/>
      <c r="F121" s="54"/>
      <c r="G121" s="54"/>
      <c r="H121" s="54"/>
      <c r="I121" s="54"/>
    </row>
    <row r="122" spans="1:9" x14ac:dyDescent="0.25">
      <c r="B122" s="54"/>
      <c r="C122" s="54"/>
      <c r="D122" s="54"/>
      <c r="E122" s="54"/>
      <c r="F122" s="54"/>
      <c r="G122" s="54"/>
      <c r="H122" s="54"/>
      <c r="I122" s="54"/>
    </row>
    <row r="123" spans="1:9" x14ac:dyDescent="0.25">
      <c r="B123" s="54"/>
      <c r="C123" s="54"/>
      <c r="D123" s="54"/>
      <c r="E123" s="54"/>
      <c r="F123" s="54"/>
      <c r="G123" s="54"/>
      <c r="H123" s="54"/>
      <c r="I123" s="54"/>
    </row>
    <row r="124" spans="1:9" ht="15" x14ac:dyDescent="0.25">
      <c r="B124" s="30" t="s">
        <v>17</v>
      </c>
      <c r="C124" s="16" t="s">
        <v>115</v>
      </c>
    </row>
    <row r="126" spans="1:9" ht="15" x14ac:dyDescent="0.25">
      <c r="B126" s="30" t="s">
        <v>17</v>
      </c>
      <c r="C126" s="38" t="s">
        <v>301</v>
      </c>
      <c r="D126"/>
      <c r="E126" s="32" t="s">
        <v>304</v>
      </c>
      <c r="F126" s="34">
        <f>GETPIVOTDATA("Risk ID",$B$126,"Overdue?","Overdue")</f>
        <v>12</v>
      </c>
    </row>
    <row r="127" spans="1:9" ht="15" x14ac:dyDescent="0.25">
      <c r="B127" s="31" t="s">
        <v>302</v>
      </c>
      <c r="C127" s="38">
        <v>12</v>
      </c>
      <c r="D127"/>
      <c r="E127"/>
    </row>
    <row r="128" spans="1:9" ht="15" x14ac:dyDescent="0.25">
      <c r="B128" s="31" t="s">
        <v>303</v>
      </c>
      <c r="C128" s="38">
        <v>1</v>
      </c>
      <c r="D128"/>
      <c r="E128"/>
    </row>
    <row r="129" spans="1:9" ht="15" x14ac:dyDescent="0.25">
      <c r="B129" s="31" t="s">
        <v>0</v>
      </c>
      <c r="C129" s="38">
        <v>13</v>
      </c>
      <c r="D129"/>
      <c r="E129"/>
    </row>
    <row r="130" spans="1:9" ht="15" x14ac:dyDescent="0.25">
      <c r="B130"/>
      <c r="C130"/>
      <c r="D130"/>
      <c r="E130"/>
    </row>
    <row r="131" spans="1:9" ht="15" x14ac:dyDescent="0.25">
      <c r="B131"/>
      <c r="C131"/>
      <c r="D131"/>
      <c r="E131"/>
    </row>
    <row r="137" spans="1:9" x14ac:dyDescent="0.25">
      <c r="A137" s="27"/>
      <c r="B137" s="171" t="s">
        <v>122</v>
      </c>
      <c r="C137" s="171"/>
      <c r="D137" s="171"/>
      <c r="E137" s="171"/>
      <c r="F137" s="171"/>
      <c r="G137" s="171"/>
      <c r="H137" s="171"/>
      <c r="I137" s="171"/>
    </row>
    <row r="138" spans="1:9" ht="46.5" customHeight="1" x14ac:dyDescent="0.25">
      <c r="A138" s="29"/>
      <c r="B138" s="170" t="s">
        <v>123</v>
      </c>
      <c r="C138" s="170"/>
      <c r="D138" s="170"/>
      <c r="E138" s="170"/>
      <c r="F138" s="170"/>
      <c r="G138" s="170"/>
      <c r="H138" s="170"/>
      <c r="I138" s="170"/>
    </row>
    <row r="139" spans="1:9" ht="15" x14ac:dyDescent="0.25">
      <c r="B139" s="16"/>
      <c r="C139" s="16"/>
    </row>
    <row r="140" spans="1:9" x14ac:dyDescent="0.25">
      <c r="C140" s="37" t="s">
        <v>16</v>
      </c>
      <c r="D140" s="37" t="s">
        <v>23</v>
      </c>
      <c r="E140" s="37" t="s">
        <v>125</v>
      </c>
    </row>
    <row r="141" spans="1:9" ht="15" x14ac:dyDescent="0.25">
      <c r="B141" s="32" t="s">
        <v>124</v>
      </c>
      <c r="C141" s="34">
        <f>GETPIVOTDATA("Risk ID",$B$99,"Risk Response Strategy","Accept","Risk Status","Open")+GETPIVOTDATA("Risk ID",$B$99,"Risk Response Strategy","Accept","Risk Status","In Progress")</f>
        <v>1</v>
      </c>
      <c r="D141" s="35">
        <f>GETPIVOTDATA("Risk ID",$B$99,"Risk Response Strategy","Mitigate","Risk Status","Open")+GETPIVOTDATA("Risk ID",$B$99,"Risk Response Strategy","Mitigate","Risk Status","In Progress")</f>
        <v>16</v>
      </c>
      <c r="E141" s="35">
        <f>C141+D141</f>
        <v>17</v>
      </c>
    </row>
    <row r="146" spans="1:9" x14ac:dyDescent="0.25">
      <c r="A146" s="27"/>
      <c r="B146" s="171" t="s">
        <v>308</v>
      </c>
      <c r="C146" s="171"/>
      <c r="D146" s="171"/>
      <c r="E146" s="171"/>
      <c r="F146" s="171"/>
      <c r="G146" s="171"/>
      <c r="H146" s="171"/>
      <c r="I146" s="171"/>
    </row>
    <row r="147" spans="1:9" ht="46.5" customHeight="1" x14ac:dyDescent="0.25">
      <c r="A147" s="29"/>
      <c r="B147" s="170" t="s">
        <v>309</v>
      </c>
      <c r="C147" s="170"/>
      <c r="D147" s="170"/>
      <c r="E147" s="170"/>
      <c r="F147" s="170"/>
      <c r="G147" s="170"/>
      <c r="H147" s="170"/>
      <c r="I147" s="170"/>
    </row>
    <row r="151" spans="1:9" ht="15" x14ac:dyDescent="0.25">
      <c r="B151" s="30" t="s">
        <v>17</v>
      </c>
      <c r="C151" s="16" t="s">
        <v>160</v>
      </c>
    </row>
    <row r="153" spans="1:9" ht="15" x14ac:dyDescent="0.25">
      <c r="B153" s="30" t="s">
        <v>305</v>
      </c>
      <c r="C153" s="16" t="s">
        <v>110</v>
      </c>
      <c r="E153" s="41" t="s">
        <v>145</v>
      </c>
      <c r="F153" s="36">
        <f>IFERROR(GETPIVOTDATA("Risk ID",$B$153,"Current-I-L-Combo",E153),0)</f>
        <v>2</v>
      </c>
    </row>
    <row r="154" spans="1:9" ht="15" x14ac:dyDescent="0.25">
      <c r="B154" s="31" t="s">
        <v>135</v>
      </c>
      <c r="C154" s="16">
        <v>2</v>
      </c>
      <c r="E154" s="41" t="s">
        <v>146</v>
      </c>
      <c r="F154" s="36">
        <f t="shared" ref="F154:F177" si="0">IFERROR(GETPIVOTDATA("Risk ID",$B$153,"Current-I-L-Combo",E154),0)</f>
        <v>1</v>
      </c>
    </row>
    <row r="155" spans="1:9" ht="15" x14ac:dyDescent="0.25">
      <c r="B155" s="31" t="s">
        <v>136</v>
      </c>
      <c r="C155" s="16">
        <v>1</v>
      </c>
      <c r="E155" s="41" t="s">
        <v>147</v>
      </c>
      <c r="F155" s="36">
        <f t="shared" si="0"/>
        <v>1</v>
      </c>
    </row>
    <row r="156" spans="1:9" ht="15" x14ac:dyDescent="0.25">
      <c r="B156" s="31" t="s">
        <v>137</v>
      </c>
      <c r="C156" s="16">
        <v>1</v>
      </c>
      <c r="E156" s="41" t="s">
        <v>148</v>
      </c>
      <c r="F156" s="36">
        <f t="shared" si="0"/>
        <v>0</v>
      </c>
    </row>
    <row r="157" spans="1:9" ht="15" x14ac:dyDescent="0.25">
      <c r="B157" s="31" t="s">
        <v>138</v>
      </c>
      <c r="C157" s="16">
        <v>2</v>
      </c>
      <c r="E157" s="41" t="s">
        <v>149</v>
      </c>
      <c r="F157" s="36">
        <f t="shared" si="0"/>
        <v>0</v>
      </c>
    </row>
    <row r="158" spans="1:9" ht="15" x14ac:dyDescent="0.25">
      <c r="B158" s="31" t="s">
        <v>141</v>
      </c>
      <c r="C158" s="16">
        <v>3</v>
      </c>
      <c r="E158" s="41" t="s">
        <v>138</v>
      </c>
      <c r="F158" s="36">
        <f t="shared" si="0"/>
        <v>2</v>
      </c>
    </row>
    <row r="159" spans="1:9" ht="15" x14ac:dyDescent="0.25">
      <c r="B159" s="31" t="s">
        <v>142</v>
      </c>
      <c r="C159" s="16">
        <v>2</v>
      </c>
      <c r="E159" s="41" t="s">
        <v>139</v>
      </c>
      <c r="F159" s="36">
        <f t="shared" si="0"/>
        <v>0</v>
      </c>
    </row>
    <row r="160" spans="1:9" ht="15" x14ac:dyDescent="0.25">
      <c r="B160" s="31" t="s">
        <v>143</v>
      </c>
      <c r="C160" s="16">
        <v>1</v>
      </c>
      <c r="E160" s="41" t="s">
        <v>150</v>
      </c>
      <c r="F160" s="36">
        <f t="shared" si="0"/>
        <v>0</v>
      </c>
    </row>
    <row r="161" spans="2:6" ht="15" x14ac:dyDescent="0.25">
      <c r="B161" s="31" t="s">
        <v>144</v>
      </c>
      <c r="C161" s="16">
        <v>1</v>
      </c>
      <c r="E161" s="41" t="s">
        <v>140</v>
      </c>
      <c r="F161" s="36">
        <f t="shared" si="0"/>
        <v>0</v>
      </c>
    </row>
    <row r="162" spans="2:6" ht="15" x14ac:dyDescent="0.25">
      <c r="B162" s="31" t="s">
        <v>145</v>
      </c>
      <c r="C162" s="16">
        <v>2</v>
      </c>
      <c r="E162" s="41" t="s">
        <v>151</v>
      </c>
      <c r="F162" s="36">
        <f t="shared" si="0"/>
        <v>0</v>
      </c>
    </row>
    <row r="163" spans="2:6" ht="15" x14ac:dyDescent="0.25">
      <c r="B163" s="31" t="s">
        <v>146</v>
      </c>
      <c r="C163" s="16">
        <v>1</v>
      </c>
      <c r="E163" s="41" t="s">
        <v>141</v>
      </c>
      <c r="F163" s="36">
        <f t="shared" si="0"/>
        <v>3</v>
      </c>
    </row>
    <row r="164" spans="2:6" ht="15" x14ac:dyDescent="0.25">
      <c r="B164" s="31" t="s">
        <v>147</v>
      </c>
      <c r="C164" s="16">
        <v>1</v>
      </c>
      <c r="E164" s="41" t="s">
        <v>152</v>
      </c>
      <c r="F164" s="36">
        <f t="shared" si="0"/>
        <v>0</v>
      </c>
    </row>
    <row r="165" spans="2:6" ht="15" x14ac:dyDescent="0.25">
      <c r="B165" s="31" t="s">
        <v>0</v>
      </c>
      <c r="C165" s="16">
        <v>17</v>
      </c>
      <c r="E165" s="41" t="s">
        <v>153</v>
      </c>
      <c r="F165" s="36">
        <f t="shared" si="0"/>
        <v>0</v>
      </c>
    </row>
    <row r="166" spans="2:6" ht="15" x14ac:dyDescent="0.25">
      <c r="B166"/>
      <c r="C166"/>
      <c r="E166" s="41" t="s">
        <v>154</v>
      </c>
      <c r="F166" s="36">
        <f t="shared" si="0"/>
        <v>0</v>
      </c>
    </row>
    <row r="167" spans="2:6" ht="15" x14ac:dyDescent="0.25">
      <c r="B167"/>
      <c r="C167"/>
      <c r="E167" s="41" t="s">
        <v>155</v>
      </c>
      <c r="F167" s="36">
        <f>IFERROR(GETPIVOTDATA("Risk ID",$B$153,"Current-I-L-Combo",E167),0)</f>
        <v>0</v>
      </c>
    </row>
    <row r="168" spans="2:6" ht="15" x14ac:dyDescent="0.25">
      <c r="B168"/>
      <c r="C168"/>
      <c r="E168" s="41" t="s">
        <v>135</v>
      </c>
      <c r="F168" s="36">
        <f t="shared" si="0"/>
        <v>2</v>
      </c>
    </row>
    <row r="169" spans="2:6" ht="15" x14ac:dyDescent="0.25">
      <c r="E169" s="41" t="s">
        <v>136</v>
      </c>
      <c r="F169" s="36">
        <f t="shared" si="0"/>
        <v>1</v>
      </c>
    </row>
    <row r="170" spans="2:6" ht="15" x14ac:dyDescent="0.25">
      <c r="E170" s="41" t="s">
        <v>137</v>
      </c>
      <c r="F170" s="36">
        <f t="shared" si="0"/>
        <v>1</v>
      </c>
    </row>
    <row r="171" spans="2:6" ht="15" x14ac:dyDescent="0.25">
      <c r="E171" s="41" t="s">
        <v>156</v>
      </c>
      <c r="F171" s="36">
        <f t="shared" si="0"/>
        <v>0</v>
      </c>
    </row>
    <row r="172" spans="2:6" ht="15" x14ac:dyDescent="0.25">
      <c r="E172" s="41" t="s">
        <v>157</v>
      </c>
      <c r="F172" s="36">
        <f t="shared" si="0"/>
        <v>0</v>
      </c>
    </row>
    <row r="173" spans="2:6" ht="15" x14ac:dyDescent="0.25">
      <c r="E173" s="41" t="s">
        <v>142</v>
      </c>
      <c r="F173" s="36">
        <f t="shared" si="0"/>
        <v>2</v>
      </c>
    </row>
    <row r="174" spans="2:6" ht="15" x14ac:dyDescent="0.25">
      <c r="E174" s="41" t="s">
        <v>158</v>
      </c>
      <c r="F174" s="36">
        <f t="shared" si="0"/>
        <v>0</v>
      </c>
    </row>
    <row r="175" spans="2:6" ht="15" x14ac:dyDescent="0.25">
      <c r="E175" s="41" t="s">
        <v>143</v>
      </c>
      <c r="F175" s="36">
        <f t="shared" si="0"/>
        <v>1</v>
      </c>
    </row>
    <row r="176" spans="2:6" ht="15" x14ac:dyDescent="0.25">
      <c r="E176" s="41" t="s">
        <v>159</v>
      </c>
      <c r="F176" s="36">
        <f t="shared" si="0"/>
        <v>0</v>
      </c>
    </row>
    <row r="177" spans="1:9" ht="15" x14ac:dyDescent="0.25">
      <c r="E177" s="41" t="s">
        <v>144</v>
      </c>
      <c r="F177" s="36">
        <f t="shared" si="0"/>
        <v>1</v>
      </c>
    </row>
    <row r="178" spans="1:9" x14ac:dyDescent="0.25">
      <c r="E178" s="43" t="s">
        <v>125</v>
      </c>
      <c r="F178" s="42">
        <f>SUM(F153:F177)</f>
        <v>17</v>
      </c>
    </row>
    <row r="184" spans="1:9" x14ac:dyDescent="0.25">
      <c r="A184" s="27"/>
      <c r="B184" s="171" t="s">
        <v>297</v>
      </c>
      <c r="C184" s="171"/>
      <c r="D184" s="171"/>
      <c r="E184" s="171"/>
      <c r="F184" s="171"/>
      <c r="G184" s="171"/>
      <c r="H184" s="171"/>
      <c r="I184" s="171"/>
    </row>
    <row r="185" spans="1:9" ht="46.5" customHeight="1" x14ac:dyDescent="0.25">
      <c r="A185" s="29"/>
      <c r="B185" s="170" t="s">
        <v>298</v>
      </c>
      <c r="C185" s="170"/>
      <c r="D185" s="170"/>
      <c r="E185" s="170"/>
      <c r="F185" s="170"/>
      <c r="G185" s="170"/>
      <c r="H185" s="170"/>
      <c r="I185" s="170"/>
    </row>
    <row r="186" spans="1:9" customFormat="1" ht="46.5" customHeight="1" x14ac:dyDescent="0.25"/>
    <row r="187" spans="1:9" ht="15" x14ac:dyDescent="0.25">
      <c r="B187" s="30" t="s">
        <v>17</v>
      </c>
      <c r="C187" s="16" t="s">
        <v>160</v>
      </c>
    </row>
    <row r="189" spans="1:9" ht="15" x14ac:dyDescent="0.25">
      <c r="B189" s="30" t="s">
        <v>17</v>
      </c>
      <c r="C189" s="38" t="s">
        <v>110</v>
      </c>
      <c r="D189"/>
      <c r="E189"/>
      <c r="F189"/>
    </row>
    <row r="190" spans="1:9" ht="15" x14ac:dyDescent="0.25">
      <c r="B190" s="31" t="s">
        <v>47</v>
      </c>
      <c r="C190" s="38">
        <v>1</v>
      </c>
      <c r="D190"/>
      <c r="E190"/>
      <c r="F190"/>
    </row>
    <row r="191" spans="1:9" ht="15" x14ac:dyDescent="0.25">
      <c r="B191" s="31" t="s">
        <v>51</v>
      </c>
      <c r="C191" s="38">
        <v>2</v>
      </c>
      <c r="D191"/>
      <c r="E191"/>
      <c r="F191"/>
    </row>
    <row r="192" spans="1:9" ht="15" x14ac:dyDescent="0.25">
      <c r="B192" s="31" t="s">
        <v>50</v>
      </c>
      <c r="C192" s="38">
        <v>2</v>
      </c>
      <c r="D192"/>
      <c r="E192"/>
      <c r="F192"/>
    </row>
    <row r="193" spans="1:9" ht="15" x14ac:dyDescent="0.25">
      <c r="B193" s="31" t="s">
        <v>52</v>
      </c>
      <c r="C193" s="38">
        <v>2</v>
      </c>
      <c r="D193"/>
      <c r="E193"/>
      <c r="F193"/>
    </row>
    <row r="194" spans="1:9" ht="15" x14ac:dyDescent="0.25">
      <c r="B194" s="31" t="s">
        <v>48</v>
      </c>
      <c r="C194" s="38">
        <v>2</v>
      </c>
      <c r="D194"/>
      <c r="E194"/>
      <c r="F194"/>
    </row>
    <row r="195" spans="1:9" ht="15" x14ac:dyDescent="0.25">
      <c r="B195" s="31" t="s">
        <v>46</v>
      </c>
      <c r="C195" s="38">
        <v>2</v>
      </c>
      <c r="D195"/>
      <c r="E195"/>
      <c r="F195"/>
    </row>
    <row r="196" spans="1:9" ht="15" x14ac:dyDescent="0.25">
      <c r="B196" s="31" t="s">
        <v>44</v>
      </c>
      <c r="C196" s="38">
        <v>2</v>
      </c>
      <c r="D196"/>
      <c r="E196"/>
      <c r="F196"/>
    </row>
    <row r="197" spans="1:9" ht="15" x14ac:dyDescent="0.25">
      <c r="B197" s="31" t="s">
        <v>49</v>
      </c>
      <c r="C197" s="38">
        <v>4</v>
      </c>
      <c r="D197"/>
      <c r="E197"/>
      <c r="F197"/>
    </row>
    <row r="198" spans="1:9" ht="15" x14ac:dyDescent="0.25">
      <c r="B198" s="31" t="s">
        <v>0</v>
      </c>
      <c r="C198" s="38">
        <v>17</v>
      </c>
      <c r="D198"/>
      <c r="E198"/>
      <c r="F198"/>
    </row>
    <row r="199" spans="1:9" ht="15" x14ac:dyDescent="0.25">
      <c r="B199"/>
      <c r="C199"/>
      <c r="D199"/>
      <c r="E199"/>
      <c r="F199"/>
    </row>
    <row r="200" spans="1:9" ht="15" x14ac:dyDescent="0.25">
      <c r="B200"/>
      <c r="C200"/>
      <c r="D200"/>
      <c r="E200"/>
      <c r="F200"/>
    </row>
    <row r="201" spans="1:9" ht="15" x14ac:dyDescent="0.25">
      <c r="B201"/>
      <c r="C201"/>
      <c r="D201"/>
      <c r="E201"/>
    </row>
    <row r="202" spans="1:9" ht="15" x14ac:dyDescent="0.25">
      <c r="B202"/>
      <c r="C202"/>
    </row>
    <row r="203" spans="1:9" ht="15" x14ac:dyDescent="0.25">
      <c r="B203"/>
      <c r="C203"/>
    </row>
    <row r="204" spans="1:9" x14ac:dyDescent="0.25">
      <c r="A204" s="27"/>
      <c r="B204" s="171" t="s">
        <v>310</v>
      </c>
      <c r="C204" s="171"/>
      <c r="D204" s="171"/>
      <c r="E204" s="171"/>
      <c r="F204" s="171"/>
      <c r="G204" s="171"/>
      <c r="H204" s="171"/>
      <c r="I204" s="171"/>
    </row>
    <row r="205" spans="1:9" ht="46.5" customHeight="1" x14ac:dyDescent="0.25">
      <c r="A205" s="29"/>
      <c r="B205" s="170" t="s">
        <v>309</v>
      </c>
      <c r="C205" s="170"/>
      <c r="D205" s="170"/>
      <c r="E205" s="170"/>
      <c r="F205" s="170"/>
      <c r="G205" s="170"/>
      <c r="H205" s="170"/>
      <c r="I205" s="170"/>
    </row>
    <row r="209" spans="2:6" ht="15" x14ac:dyDescent="0.25">
      <c r="B209"/>
      <c r="C209"/>
    </row>
    <row r="211" spans="2:6" ht="15" x14ac:dyDescent="0.25">
      <c r="B211" s="30" t="s">
        <v>311</v>
      </c>
      <c r="C211" s="16" t="s">
        <v>110</v>
      </c>
      <c r="E211" s="58" t="s">
        <v>313</v>
      </c>
      <c r="F211" s="41">
        <f>IFERROR(GETPIVOTDATA("Risk ID",$B$211,"Created Month",E211),0)</f>
        <v>1</v>
      </c>
    </row>
    <row r="212" spans="2:6" ht="15" x14ac:dyDescent="0.25">
      <c r="B212" s="31" t="s">
        <v>312</v>
      </c>
      <c r="C212" s="16">
        <v>980</v>
      </c>
      <c r="E212" s="58" t="s">
        <v>314</v>
      </c>
      <c r="F212" s="41">
        <f t="shared" ref="F212:F222" si="1">IFERROR(GETPIVOTDATA("Risk ID",$B$211,"Created Month",E212),0)</f>
        <v>0</v>
      </c>
    </row>
    <row r="213" spans="2:6" ht="15" x14ac:dyDescent="0.25">
      <c r="B213" s="31" t="s">
        <v>313</v>
      </c>
      <c r="C213" s="16">
        <v>1</v>
      </c>
      <c r="E213" s="58" t="s">
        <v>315</v>
      </c>
      <c r="F213" s="41">
        <f t="shared" si="1"/>
        <v>0</v>
      </c>
    </row>
    <row r="214" spans="2:6" ht="15" x14ac:dyDescent="0.25">
      <c r="B214" s="31" t="s">
        <v>316</v>
      </c>
      <c r="C214" s="16">
        <v>16</v>
      </c>
      <c r="E214" s="58" t="s">
        <v>316</v>
      </c>
      <c r="F214" s="41">
        <f t="shared" si="1"/>
        <v>16</v>
      </c>
    </row>
    <row r="215" spans="2:6" ht="15" x14ac:dyDescent="0.25">
      <c r="B215" s="31" t="s">
        <v>317</v>
      </c>
      <c r="C215" s="16">
        <v>1</v>
      </c>
      <c r="E215" s="58" t="s">
        <v>317</v>
      </c>
      <c r="F215" s="41">
        <f t="shared" si="1"/>
        <v>1</v>
      </c>
    </row>
    <row r="216" spans="2:6" ht="15" x14ac:dyDescent="0.25">
      <c r="B216" s="31" t="s">
        <v>321</v>
      </c>
      <c r="C216" s="16">
        <v>1</v>
      </c>
      <c r="E216" s="58" t="s">
        <v>318</v>
      </c>
      <c r="F216" s="41">
        <f t="shared" si="1"/>
        <v>0</v>
      </c>
    </row>
    <row r="217" spans="2:6" ht="15" x14ac:dyDescent="0.25">
      <c r="B217" s="31" t="s">
        <v>324</v>
      </c>
      <c r="C217" s="16">
        <v>1</v>
      </c>
      <c r="E217" s="58" t="s">
        <v>319</v>
      </c>
      <c r="F217" s="41">
        <f t="shared" si="1"/>
        <v>0</v>
      </c>
    </row>
    <row r="218" spans="2:6" ht="15" x14ac:dyDescent="0.25">
      <c r="B218" s="31" t="s">
        <v>0</v>
      </c>
      <c r="C218" s="16">
        <v>1000</v>
      </c>
      <c r="E218" s="58" t="s">
        <v>320</v>
      </c>
      <c r="F218" s="41">
        <f t="shared" si="1"/>
        <v>0</v>
      </c>
    </row>
    <row r="219" spans="2:6" ht="15" x14ac:dyDescent="0.25">
      <c r="B219"/>
      <c r="C219"/>
      <c r="E219" s="58" t="s">
        <v>321</v>
      </c>
      <c r="F219" s="41">
        <f t="shared" si="1"/>
        <v>1</v>
      </c>
    </row>
    <row r="220" spans="2:6" ht="15" x14ac:dyDescent="0.25">
      <c r="B220"/>
      <c r="C220"/>
      <c r="E220" s="58" t="s">
        <v>322</v>
      </c>
      <c r="F220" s="41">
        <f t="shared" si="1"/>
        <v>0</v>
      </c>
    </row>
    <row r="221" spans="2:6" ht="15" x14ac:dyDescent="0.25">
      <c r="B221"/>
      <c r="C221"/>
      <c r="E221" s="58" t="s">
        <v>323</v>
      </c>
      <c r="F221" s="41">
        <f t="shared" si="1"/>
        <v>0</v>
      </c>
    </row>
    <row r="222" spans="2:6" ht="15" x14ac:dyDescent="0.25">
      <c r="B222"/>
      <c r="C222"/>
      <c r="E222" s="58" t="s">
        <v>324</v>
      </c>
      <c r="F222" s="41">
        <f t="shared" si="1"/>
        <v>1</v>
      </c>
    </row>
    <row r="223" spans="2:6" x14ac:dyDescent="0.25">
      <c r="E223" s="43" t="s">
        <v>125</v>
      </c>
      <c r="F223" s="42">
        <f>SUM(F211:F222)</f>
        <v>20</v>
      </c>
    </row>
    <row r="228" spans="1:9" x14ac:dyDescent="0.25">
      <c r="A228" s="27"/>
      <c r="B228" s="171" t="s">
        <v>330</v>
      </c>
      <c r="C228" s="171"/>
      <c r="D228" s="171"/>
      <c r="E228" s="171"/>
      <c r="F228" s="171"/>
      <c r="G228" s="171"/>
      <c r="H228" s="171"/>
      <c r="I228" s="171"/>
    </row>
    <row r="229" spans="1:9" ht="46.5" customHeight="1" x14ac:dyDescent="0.25">
      <c r="A229" s="29"/>
      <c r="B229" s="170" t="s">
        <v>331</v>
      </c>
      <c r="C229" s="170"/>
      <c r="D229" s="170"/>
      <c r="E229" s="170"/>
      <c r="F229" s="170"/>
      <c r="G229" s="170"/>
      <c r="H229" s="170"/>
      <c r="I229" s="170"/>
    </row>
    <row r="232" spans="1:9" ht="15" x14ac:dyDescent="0.25">
      <c r="B232" s="76">
        <f>RiskTimeline!C2</f>
        <v>45292</v>
      </c>
      <c r="C232" s="77">
        <f>INDEX(RiskTimeline!$I$7:$T$7, MATCH(B232, RiskTimeline!$I$8:$T$8, 0))</f>
        <v>11.3</v>
      </c>
    </row>
    <row r="233" spans="1:9" ht="15" x14ac:dyDescent="0.25">
      <c r="B233" s="76">
        <f>EDATE(B232,RiskTimeline!$C$3)</f>
        <v>45323</v>
      </c>
      <c r="C233" s="77">
        <f>INDEX(RiskTimeline!$I$7:$T$7, MATCH(B233, RiskTimeline!$I$8:$T$8, 0))</f>
        <v>10.5</v>
      </c>
    </row>
    <row r="234" spans="1:9" ht="15" x14ac:dyDescent="0.25">
      <c r="B234" s="76">
        <f>EDATE(B233,RiskTimeline!$C$3)</f>
        <v>45352</v>
      </c>
      <c r="C234" s="77">
        <f>INDEX(RiskTimeline!$I$7:$T$7, MATCH(B234, RiskTimeline!$I$8:$T$8, 0))</f>
        <v>9.65</v>
      </c>
    </row>
    <row r="235" spans="1:9" ht="15" x14ac:dyDescent="0.25">
      <c r="B235" s="76">
        <f>EDATE(B234,RiskTimeline!$C$3)</f>
        <v>45383</v>
      </c>
      <c r="C235" s="77">
        <f>INDEX(RiskTimeline!$I$7:$T$7, MATCH(B235, RiskTimeline!$I$8:$T$8, 0))</f>
        <v>9.65</v>
      </c>
    </row>
    <row r="236" spans="1:9" ht="15" x14ac:dyDescent="0.25">
      <c r="B236" s="76">
        <f>EDATE(B235,RiskTimeline!$C$3)</f>
        <v>45413</v>
      </c>
      <c r="C236" s="77">
        <f>INDEX(RiskTimeline!$I$7:$T$7, MATCH(B236, RiskTimeline!$I$8:$T$8, 0))</f>
        <v>9.5500000000000007</v>
      </c>
    </row>
    <row r="237" spans="1:9" ht="15" x14ac:dyDescent="0.25">
      <c r="B237" s="76">
        <f>EDATE(B236,RiskTimeline!$C$3)</f>
        <v>45444</v>
      </c>
      <c r="C237" s="77">
        <f>INDEX(RiskTimeline!$I$7:$T$7, MATCH(B237, RiskTimeline!$I$8:$T$8, 0))</f>
        <v>9</v>
      </c>
    </row>
    <row r="238" spans="1:9" ht="15" x14ac:dyDescent="0.25">
      <c r="B238" s="76">
        <f>EDATE(B237,RiskTimeline!$C$3)</f>
        <v>45474</v>
      </c>
      <c r="C238" s="77">
        <f>INDEX(RiskTimeline!$I$7:$T$7, MATCH(B238, RiskTimeline!$I$8:$T$8, 0))</f>
        <v>8.15</v>
      </c>
    </row>
    <row r="239" spans="1:9" ht="15" x14ac:dyDescent="0.25">
      <c r="B239" s="76">
        <f>EDATE(B238,RiskTimeline!$C$3)</f>
        <v>45505</v>
      </c>
      <c r="C239" s="77">
        <f>INDEX(RiskTimeline!$I$7:$T$7, MATCH(B239, RiskTimeline!$I$8:$T$8, 0))</f>
        <v>8.15</v>
      </c>
    </row>
    <row r="240" spans="1:9" ht="15" x14ac:dyDescent="0.25">
      <c r="B240" s="76">
        <f>EDATE(B239,RiskTimeline!$C$3)</f>
        <v>45536</v>
      </c>
      <c r="C240" s="77">
        <f>INDEX(RiskTimeline!$I$7:$T$7, MATCH(B240, RiskTimeline!$I$8:$T$8, 0))</f>
        <v>8.15</v>
      </c>
    </row>
    <row r="241" spans="2:3" ht="15" x14ac:dyDescent="0.25">
      <c r="B241" s="76">
        <f>EDATE(B240,RiskTimeline!$C$3)</f>
        <v>45566</v>
      </c>
      <c r="C241" s="77">
        <f>INDEX(RiskTimeline!$I$7:$T$7, MATCH(B241, RiskTimeline!$I$8:$T$8, 0))</f>
        <v>8.15</v>
      </c>
    </row>
    <row r="242" spans="2:3" ht="15" x14ac:dyDescent="0.25">
      <c r="B242" s="76">
        <f>EDATE(B241,RiskTimeline!$C$3)</f>
        <v>45597</v>
      </c>
      <c r="C242" s="77">
        <f>INDEX(RiskTimeline!$I$7:$T$7, MATCH(B242, RiskTimeline!$I$8:$T$8, 0))</f>
        <v>8.1999999999999993</v>
      </c>
    </row>
    <row r="243" spans="2:3" ht="15" x14ac:dyDescent="0.25">
      <c r="B243" s="76">
        <f>EDATE(B242,RiskTimeline!$C$3)</f>
        <v>45627</v>
      </c>
      <c r="C243" s="77">
        <f>INDEX(RiskTimeline!$I$7:$T$7, MATCH(B243, RiskTimeline!$I$8:$T$8, 0))</f>
        <v>7.9</v>
      </c>
    </row>
  </sheetData>
  <mergeCells count="32">
    <mergeCell ref="B228:I228"/>
    <mergeCell ref="B229:I229"/>
    <mergeCell ref="B46:I46"/>
    <mergeCell ref="B68:I68"/>
    <mergeCell ref="B69:I69"/>
    <mergeCell ref="B78:I78"/>
    <mergeCell ref="B79:I79"/>
    <mergeCell ref="B89:I89"/>
    <mergeCell ref="B90:I90"/>
    <mergeCell ref="B95:I95"/>
    <mergeCell ref="B96:I96"/>
    <mergeCell ref="B137:I137"/>
    <mergeCell ref="B138:I138"/>
    <mergeCell ref="B111:I111"/>
    <mergeCell ref="B112:I112"/>
    <mergeCell ref="B204:I204"/>
    <mergeCell ref="B37:I37"/>
    <mergeCell ref="B38:I38"/>
    <mergeCell ref="B55:I55"/>
    <mergeCell ref="B56:I56"/>
    <mergeCell ref="B3:I3"/>
    <mergeCell ref="B22:I22"/>
    <mergeCell ref="B4:I4"/>
    <mergeCell ref="B21:I21"/>
    <mergeCell ref="B45:I45"/>
    <mergeCell ref="B205:I205"/>
    <mergeCell ref="B184:I184"/>
    <mergeCell ref="B185:I185"/>
    <mergeCell ref="B118:I118"/>
    <mergeCell ref="B119:I119"/>
    <mergeCell ref="B146:I146"/>
    <mergeCell ref="B147:I147"/>
  </mergeCells>
  <pageMargins left="0.7" right="0.7" top="0.75" bottom="0.75" header="0.3" footer="0.3"/>
  <pageSetup orientation="portrait" r:id="rId14"/>
  <drawing r:id="rId1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765B8-F578-4A58-896E-04E047FB53F4}">
  <dimension ref="A1:T2008"/>
  <sheetViews>
    <sheetView showGridLines="0" tabSelected="1" zoomScaleNormal="100" workbookViewId="0">
      <pane ySplit="8" topLeftCell="A9" activePane="bottomLeft" state="frozen"/>
      <selection pane="bottomLeft" activeCell="D3" sqref="D3"/>
    </sheetView>
  </sheetViews>
  <sheetFormatPr defaultColWidth="9.140625" defaultRowHeight="20.25" x14ac:dyDescent="0.35"/>
  <cols>
    <col min="1" max="1" width="8.7109375" style="21" customWidth="1"/>
    <col min="2" max="2" width="25.140625" style="21" bestFit="1" customWidth="1"/>
    <col min="3" max="3" width="17.42578125" style="23" customWidth="1"/>
    <col min="4" max="4" width="17.42578125" style="21" customWidth="1"/>
    <col min="5" max="5" width="16.28515625" style="22" customWidth="1"/>
    <col min="6" max="7" width="3.7109375" style="22" customWidth="1"/>
    <col min="8" max="8" width="29.42578125" style="22" customWidth="1"/>
    <col min="9" max="20" width="6.42578125" style="22" customWidth="1"/>
    <col min="21" max="16384" width="9.140625" style="21"/>
  </cols>
  <sheetData>
    <row r="1" spans="1:20" ht="134.25" customHeight="1" x14ac:dyDescent="0.35"/>
    <row r="2" spans="1:20" ht="23.25" customHeight="1" x14ac:dyDescent="0.3">
      <c r="B2" s="73" t="s">
        <v>325</v>
      </c>
      <c r="C2" s="51">
        <v>45292</v>
      </c>
    </row>
    <row r="3" spans="1:20" ht="23.25" customHeight="1" x14ac:dyDescent="0.3">
      <c r="B3" s="50" t="s">
        <v>287</v>
      </c>
      <c r="C3" s="52">
        <v>1</v>
      </c>
    </row>
    <row r="4" spans="1:20" s="70" customFormat="1" x14ac:dyDescent="0.35">
      <c r="C4" s="71"/>
      <c r="E4" s="72"/>
      <c r="F4" s="72"/>
      <c r="G4" s="72"/>
      <c r="H4" s="72"/>
      <c r="I4" s="72"/>
      <c r="J4" s="72"/>
      <c r="K4" s="72"/>
      <c r="L4" s="72"/>
      <c r="M4" s="72"/>
      <c r="N4" s="72"/>
      <c r="O4" s="72"/>
      <c r="P4" s="72"/>
      <c r="Q4" s="72"/>
      <c r="R4" s="72"/>
      <c r="S4" s="72"/>
      <c r="T4" s="72"/>
    </row>
    <row r="5" spans="1:20" x14ac:dyDescent="0.35">
      <c r="I5" s="173" t="s">
        <v>340</v>
      </c>
      <c r="J5" s="173"/>
      <c r="K5" s="173"/>
      <c r="L5" s="173"/>
      <c r="M5" s="173"/>
      <c r="N5" s="173"/>
      <c r="O5" s="173"/>
      <c r="P5" s="173"/>
      <c r="Q5" s="173"/>
      <c r="R5" s="173"/>
      <c r="S5" s="173"/>
      <c r="T5" s="173"/>
    </row>
    <row r="6" spans="1:20" ht="16.5" x14ac:dyDescent="0.3">
      <c r="B6" s="112" t="s">
        <v>17</v>
      </c>
      <c r="C6" s="113" t="s">
        <v>160</v>
      </c>
    </row>
    <row r="7" spans="1:20" x14ac:dyDescent="0.35">
      <c r="H7" s="75" t="s">
        <v>329</v>
      </c>
      <c r="I7" s="109">
        <f>AVERAGE(I9:I108)</f>
        <v>11.3</v>
      </c>
      <c r="J7" s="110">
        <f t="shared" ref="J7:T7" si="0">AVERAGE(J9:J108)</f>
        <v>10.5</v>
      </c>
      <c r="K7" s="110">
        <f t="shared" si="0"/>
        <v>9.65</v>
      </c>
      <c r="L7" s="110">
        <f t="shared" si="0"/>
        <v>9.65</v>
      </c>
      <c r="M7" s="110">
        <f t="shared" si="0"/>
        <v>9.5500000000000007</v>
      </c>
      <c r="N7" s="110">
        <f t="shared" si="0"/>
        <v>9</v>
      </c>
      <c r="O7" s="110">
        <f t="shared" si="0"/>
        <v>8.15</v>
      </c>
      <c r="P7" s="110">
        <f t="shared" si="0"/>
        <v>8.15</v>
      </c>
      <c r="Q7" s="110">
        <f t="shared" si="0"/>
        <v>8.15</v>
      </c>
      <c r="R7" s="110">
        <f t="shared" si="0"/>
        <v>8.15</v>
      </c>
      <c r="S7" s="110">
        <f t="shared" si="0"/>
        <v>8.1999999999999993</v>
      </c>
      <c r="T7" s="111">
        <f t="shared" si="0"/>
        <v>7.9</v>
      </c>
    </row>
    <row r="8" spans="1:20" customFormat="1" ht="74.25" customHeight="1" x14ac:dyDescent="0.25">
      <c r="B8" s="119" t="s">
        <v>288</v>
      </c>
      <c r="C8" s="120" t="s">
        <v>344</v>
      </c>
      <c r="D8" s="120" t="s">
        <v>40</v>
      </c>
      <c r="E8" s="121" t="s">
        <v>345</v>
      </c>
      <c r="H8" s="75" t="s">
        <v>328</v>
      </c>
      <c r="I8" s="83">
        <f>C2</f>
        <v>45292</v>
      </c>
      <c r="J8" s="84">
        <f>EDATE(I8,$C$3)</f>
        <v>45323</v>
      </c>
      <c r="K8" s="84">
        <f t="shared" ref="K8:T8" si="1">EDATE(J8,$C$3)</f>
        <v>45352</v>
      </c>
      <c r="L8" s="84">
        <f t="shared" si="1"/>
        <v>45383</v>
      </c>
      <c r="M8" s="84">
        <f t="shared" si="1"/>
        <v>45413</v>
      </c>
      <c r="N8" s="84">
        <f t="shared" si="1"/>
        <v>45444</v>
      </c>
      <c r="O8" s="84">
        <f t="shared" si="1"/>
        <v>45474</v>
      </c>
      <c r="P8" s="84">
        <f t="shared" si="1"/>
        <v>45505</v>
      </c>
      <c r="Q8" s="84">
        <f t="shared" si="1"/>
        <v>45536</v>
      </c>
      <c r="R8" s="84">
        <f t="shared" si="1"/>
        <v>45566</v>
      </c>
      <c r="S8" s="84">
        <f t="shared" si="1"/>
        <v>45597</v>
      </c>
      <c r="T8" s="85">
        <f t="shared" si="1"/>
        <v>45627</v>
      </c>
    </row>
    <row r="9" spans="1:20" customFormat="1" ht="15" x14ac:dyDescent="0.25">
      <c r="B9" s="91">
        <v>1</v>
      </c>
      <c r="C9" s="114">
        <v>5</v>
      </c>
      <c r="D9" s="114">
        <v>5</v>
      </c>
      <c r="E9" s="105">
        <v>47484</v>
      </c>
      <c r="I9" s="100">
        <f>IF(OR(I$8="", $E9=""), "", IF(I$8&lt;$E9, IF($C9=0, "", $C9), $D9))</f>
        <v>5</v>
      </c>
      <c r="J9" s="38">
        <f t="shared" ref="J9:T24" si="2">IF(OR(J$8="", $E9=""), "", IF(J$8&lt;$E9, IF($C9=0, "", $C9), $D9))</f>
        <v>5</v>
      </c>
      <c r="K9" s="38">
        <f t="shared" si="2"/>
        <v>5</v>
      </c>
      <c r="L9" s="38">
        <f t="shared" si="2"/>
        <v>5</v>
      </c>
      <c r="M9" s="38">
        <f t="shared" si="2"/>
        <v>5</v>
      </c>
      <c r="N9" s="38">
        <f t="shared" si="2"/>
        <v>5</v>
      </c>
      <c r="O9" s="38">
        <f t="shared" si="2"/>
        <v>5</v>
      </c>
      <c r="P9" s="38">
        <f t="shared" si="2"/>
        <v>5</v>
      </c>
      <c r="Q9" s="38">
        <f t="shared" si="2"/>
        <v>5</v>
      </c>
      <c r="R9" s="38">
        <f t="shared" si="2"/>
        <v>5</v>
      </c>
      <c r="S9" s="38">
        <f t="shared" si="2"/>
        <v>5</v>
      </c>
      <c r="T9" s="101">
        <f t="shared" si="2"/>
        <v>5</v>
      </c>
    </row>
    <row r="10" spans="1:20" customFormat="1" ht="15" x14ac:dyDescent="0.25">
      <c r="B10" s="91">
        <v>2</v>
      </c>
      <c r="C10" s="114">
        <v>8</v>
      </c>
      <c r="D10" s="114">
        <v>8</v>
      </c>
      <c r="E10" s="105">
        <v>47484</v>
      </c>
      <c r="I10" s="100">
        <f t="shared" ref="I10:T41" si="3">IF(OR(I$8="", $E10=""), "", IF(I$8&lt;$E10, IF($C10=0, "", $C10), $D10))</f>
        <v>8</v>
      </c>
      <c r="J10" s="38">
        <f t="shared" si="2"/>
        <v>8</v>
      </c>
      <c r="K10" s="38">
        <f t="shared" si="2"/>
        <v>8</v>
      </c>
      <c r="L10" s="38">
        <f t="shared" si="2"/>
        <v>8</v>
      </c>
      <c r="M10" s="38">
        <f t="shared" si="2"/>
        <v>8</v>
      </c>
      <c r="N10" s="38">
        <f t="shared" si="2"/>
        <v>8</v>
      </c>
      <c r="O10" s="38">
        <f t="shared" si="2"/>
        <v>8</v>
      </c>
      <c r="P10" s="38">
        <f t="shared" si="2"/>
        <v>8</v>
      </c>
      <c r="Q10" s="38">
        <f t="shared" si="2"/>
        <v>8</v>
      </c>
      <c r="R10" s="38">
        <f t="shared" si="2"/>
        <v>8</v>
      </c>
      <c r="S10" s="38">
        <f t="shared" si="2"/>
        <v>8</v>
      </c>
      <c r="T10" s="101">
        <f t="shared" si="2"/>
        <v>8</v>
      </c>
    </row>
    <row r="11" spans="1:20" customFormat="1" ht="15" x14ac:dyDescent="0.25">
      <c r="B11" s="91">
        <v>3</v>
      </c>
      <c r="C11" s="114">
        <v>15</v>
      </c>
      <c r="D11" s="114">
        <v>4</v>
      </c>
      <c r="E11" s="105">
        <v>45420</v>
      </c>
      <c r="I11" s="100">
        <f t="shared" si="3"/>
        <v>15</v>
      </c>
      <c r="J11" s="38">
        <f t="shared" si="2"/>
        <v>15</v>
      </c>
      <c r="K11" s="38">
        <f t="shared" si="2"/>
        <v>15</v>
      </c>
      <c r="L11" s="38">
        <f t="shared" si="2"/>
        <v>15</v>
      </c>
      <c r="M11" s="38">
        <f t="shared" si="2"/>
        <v>15</v>
      </c>
      <c r="N11" s="38">
        <f t="shared" si="2"/>
        <v>4</v>
      </c>
      <c r="O11" s="38">
        <f t="shared" si="2"/>
        <v>4</v>
      </c>
      <c r="P11" s="38">
        <f t="shared" si="2"/>
        <v>4</v>
      </c>
      <c r="Q11" s="38">
        <f t="shared" si="2"/>
        <v>4</v>
      </c>
      <c r="R11" s="38">
        <f t="shared" si="2"/>
        <v>4</v>
      </c>
      <c r="S11" s="38">
        <f t="shared" si="2"/>
        <v>4</v>
      </c>
      <c r="T11" s="101">
        <f t="shared" si="2"/>
        <v>4</v>
      </c>
    </row>
    <row r="12" spans="1:20" customFormat="1" ht="15" x14ac:dyDescent="0.25">
      <c r="B12" s="91">
        <v>4</v>
      </c>
      <c r="C12" s="114">
        <v>16</v>
      </c>
      <c r="D12" s="114">
        <v>2</v>
      </c>
      <c r="E12" s="105">
        <v>47484</v>
      </c>
      <c r="I12" s="100">
        <f t="shared" si="3"/>
        <v>16</v>
      </c>
      <c r="J12" s="38">
        <f t="shared" si="2"/>
        <v>16</v>
      </c>
      <c r="K12" s="38">
        <f t="shared" si="2"/>
        <v>16</v>
      </c>
      <c r="L12" s="38">
        <f t="shared" si="2"/>
        <v>16</v>
      </c>
      <c r="M12" s="38">
        <f t="shared" si="2"/>
        <v>16</v>
      </c>
      <c r="N12" s="38">
        <f t="shared" si="2"/>
        <v>16</v>
      </c>
      <c r="O12" s="38">
        <f t="shared" si="2"/>
        <v>16</v>
      </c>
      <c r="P12" s="38">
        <f t="shared" si="2"/>
        <v>16</v>
      </c>
      <c r="Q12" s="38">
        <f t="shared" si="2"/>
        <v>16</v>
      </c>
      <c r="R12" s="38">
        <f t="shared" si="2"/>
        <v>16</v>
      </c>
      <c r="S12" s="38">
        <f t="shared" si="2"/>
        <v>16</v>
      </c>
      <c r="T12" s="101">
        <f t="shared" si="2"/>
        <v>16</v>
      </c>
    </row>
    <row r="13" spans="1:20" ht="16.5" x14ac:dyDescent="0.3">
      <c r="A13"/>
      <c r="B13" s="91">
        <v>5</v>
      </c>
      <c r="C13" s="114">
        <v>25</v>
      </c>
      <c r="D13" s="114">
        <v>8</v>
      </c>
      <c r="E13" s="105">
        <v>45328</v>
      </c>
      <c r="F13"/>
      <c r="I13" s="100">
        <f t="shared" si="3"/>
        <v>25</v>
      </c>
      <c r="J13" s="38">
        <f t="shared" si="2"/>
        <v>25</v>
      </c>
      <c r="K13" s="38">
        <f t="shared" si="2"/>
        <v>8</v>
      </c>
      <c r="L13" s="38">
        <f t="shared" si="2"/>
        <v>8</v>
      </c>
      <c r="M13" s="38">
        <f t="shared" si="2"/>
        <v>8</v>
      </c>
      <c r="N13" s="38">
        <f t="shared" si="2"/>
        <v>8</v>
      </c>
      <c r="O13" s="38">
        <f t="shared" si="2"/>
        <v>8</v>
      </c>
      <c r="P13" s="38">
        <f t="shared" si="2"/>
        <v>8</v>
      </c>
      <c r="Q13" s="38">
        <f t="shared" si="2"/>
        <v>8</v>
      </c>
      <c r="R13" s="38">
        <f t="shared" si="2"/>
        <v>8</v>
      </c>
      <c r="S13" s="38">
        <f t="shared" si="2"/>
        <v>8</v>
      </c>
      <c r="T13" s="101">
        <f t="shared" si="2"/>
        <v>8</v>
      </c>
    </row>
    <row r="14" spans="1:20" ht="16.5" x14ac:dyDescent="0.3">
      <c r="A14"/>
      <c r="B14" s="91">
        <v>6</v>
      </c>
      <c r="C14" s="114">
        <v>4</v>
      </c>
      <c r="D14" s="114">
        <v>2</v>
      </c>
      <c r="E14" s="105">
        <v>45218</v>
      </c>
      <c r="F14"/>
      <c r="I14" s="100">
        <f t="shared" si="3"/>
        <v>2</v>
      </c>
      <c r="J14" s="38">
        <f t="shared" si="2"/>
        <v>2</v>
      </c>
      <c r="K14" s="38">
        <f t="shared" si="2"/>
        <v>2</v>
      </c>
      <c r="L14" s="38">
        <f t="shared" si="2"/>
        <v>2</v>
      </c>
      <c r="M14" s="38">
        <f t="shared" si="2"/>
        <v>2</v>
      </c>
      <c r="N14" s="38">
        <f t="shared" si="2"/>
        <v>2</v>
      </c>
      <c r="O14" s="38">
        <f t="shared" si="2"/>
        <v>2</v>
      </c>
      <c r="P14" s="38">
        <f t="shared" si="2"/>
        <v>2</v>
      </c>
      <c r="Q14" s="38">
        <f t="shared" si="2"/>
        <v>2</v>
      </c>
      <c r="R14" s="38">
        <f t="shared" si="2"/>
        <v>2</v>
      </c>
      <c r="S14" s="38">
        <f t="shared" si="2"/>
        <v>2</v>
      </c>
      <c r="T14" s="101">
        <f t="shared" si="2"/>
        <v>2</v>
      </c>
    </row>
    <row r="15" spans="1:20" ht="16.5" x14ac:dyDescent="0.3">
      <c r="A15"/>
      <c r="B15" s="91">
        <v>7</v>
      </c>
      <c r="C15" s="114">
        <v>5</v>
      </c>
      <c r="D15" s="114">
        <v>1</v>
      </c>
      <c r="E15" s="105">
        <v>45180</v>
      </c>
      <c r="F15"/>
      <c r="I15" s="100">
        <f t="shared" si="3"/>
        <v>1</v>
      </c>
      <c r="J15" s="38">
        <f t="shared" si="2"/>
        <v>1</v>
      </c>
      <c r="K15" s="38">
        <f t="shared" si="2"/>
        <v>1</v>
      </c>
      <c r="L15" s="38">
        <f t="shared" si="2"/>
        <v>1</v>
      </c>
      <c r="M15" s="38">
        <f t="shared" si="2"/>
        <v>1</v>
      </c>
      <c r="N15" s="38">
        <f t="shared" si="2"/>
        <v>1</v>
      </c>
      <c r="O15" s="38">
        <f t="shared" si="2"/>
        <v>1</v>
      </c>
      <c r="P15" s="38">
        <f t="shared" si="2"/>
        <v>1</v>
      </c>
      <c r="Q15" s="38">
        <f t="shared" si="2"/>
        <v>1</v>
      </c>
      <c r="R15" s="38">
        <f t="shared" si="2"/>
        <v>1</v>
      </c>
      <c r="S15" s="38">
        <f t="shared" si="2"/>
        <v>1</v>
      </c>
      <c r="T15" s="101">
        <f t="shared" si="2"/>
        <v>1</v>
      </c>
    </row>
    <row r="16" spans="1:20" ht="16.5" x14ac:dyDescent="0.3">
      <c r="A16"/>
      <c r="B16" s="91">
        <v>8</v>
      </c>
      <c r="C16" s="114">
        <v>4</v>
      </c>
      <c r="D16" s="114">
        <v>4</v>
      </c>
      <c r="E16" s="105">
        <v>47484</v>
      </c>
      <c r="F16"/>
      <c r="I16" s="100">
        <f t="shared" si="3"/>
        <v>4</v>
      </c>
      <c r="J16" s="38">
        <f t="shared" si="2"/>
        <v>4</v>
      </c>
      <c r="K16" s="38">
        <f t="shared" si="2"/>
        <v>4</v>
      </c>
      <c r="L16" s="38">
        <f t="shared" si="2"/>
        <v>4</v>
      </c>
      <c r="M16" s="38">
        <f t="shared" si="2"/>
        <v>4</v>
      </c>
      <c r="N16" s="38">
        <f t="shared" si="2"/>
        <v>4</v>
      </c>
      <c r="O16" s="38">
        <f t="shared" si="2"/>
        <v>4</v>
      </c>
      <c r="P16" s="38">
        <f t="shared" si="2"/>
        <v>4</v>
      </c>
      <c r="Q16" s="38">
        <f t="shared" si="2"/>
        <v>4</v>
      </c>
      <c r="R16" s="38">
        <f t="shared" si="2"/>
        <v>4</v>
      </c>
      <c r="S16" s="38">
        <f t="shared" si="2"/>
        <v>4</v>
      </c>
      <c r="T16" s="101">
        <f t="shared" si="2"/>
        <v>4</v>
      </c>
    </row>
    <row r="17" spans="1:20" ht="16.5" x14ac:dyDescent="0.3">
      <c r="A17"/>
      <c r="B17" s="91">
        <v>9</v>
      </c>
      <c r="C17" s="114">
        <v>12</v>
      </c>
      <c r="D17" s="114">
        <v>4</v>
      </c>
      <c r="E17" s="105">
        <v>47484</v>
      </c>
      <c r="F17"/>
      <c r="I17" s="100">
        <f t="shared" si="3"/>
        <v>12</v>
      </c>
      <c r="J17" s="38">
        <f t="shared" si="2"/>
        <v>12</v>
      </c>
      <c r="K17" s="38">
        <f t="shared" si="2"/>
        <v>12</v>
      </c>
      <c r="L17" s="38">
        <f t="shared" si="2"/>
        <v>12</v>
      </c>
      <c r="M17" s="38">
        <f t="shared" si="2"/>
        <v>12</v>
      </c>
      <c r="N17" s="38">
        <f t="shared" si="2"/>
        <v>12</v>
      </c>
      <c r="O17" s="38">
        <f t="shared" si="2"/>
        <v>12</v>
      </c>
      <c r="P17" s="38">
        <f t="shared" si="2"/>
        <v>12</v>
      </c>
      <c r="Q17" s="38">
        <f t="shared" si="2"/>
        <v>12</v>
      </c>
      <c r="R17" s="38">
        <f t="shared" si="2"/>
        <v>12</v>
      </c>
      <c r="S17" s="38">
        <f t="shared" si="2"/>
        <v>12</v>
      </c>
      <c r="T17" s="101">
        <f t="shared" si="2"/>
        <v>12</v>
      </c>
    </row>
    <row r="18" spans="1:20" ht="16.5" x14ac:dyDescent="0.3">
      <c r="A18"/>
      <c r="B18" s="91">
        <v>10</v>
      </c>
      <c r="C18" s="114">
        <v>15</v>
      </c>
      <c r="D18" s="114">
        <v>8</v>
      </c>
      <c r="E18" s="105">
        <v>47484</v>
      </c>
      <c r="F18"/>
      <c r="I18" s="100">
        <f t="shared" si="3"/>
        <v>15</v>
      </c>
      <c r="J18" s="38">
        <f t="shared" si="2"/>
        <v>15</v>
      </c>
      <c r="K18" s="38">
        <f t="shared" si="2"/>
        <v>15</v>
      </c>
      <c r="L18" s="38">
        <f t="shared" si="2"/>
        <v>15</v>
      </c>
      <c r="M18" s="38">
        <f t="shared" si="2"/>
        <v>15</v>
      </c>
      <c r="N18" s="38">
        <f t="shared" si="2"/>
        <v>15</v>
      </c>
      <c r="O18" s="38">
        <f t="shared" si="2"/>
        <v>15</v>
      </c>
      <c r="P18" s="38">
        <f t="shared" si="2"/>
        <v>15</v>
      </c>
      <c r="Q18" s="38">
        <f t="shared" si="2"/>
        <v>15</v>
      </c>
      <c r="R18" s="38">
        <f t="shared" si="2"/>
        <v>15</v>
      </c>
      <c r="S18" s="38">
        <f t="shared" si="2"/>
        <v>15</v>
      </c>
      <c r="T18" s="101">
        <f t="shared" si="2"/>
        <v>15</v>
      </c>
    </row>
    <row r="19" spans="1:20" ht="16.5" x14ac:dyDescent="0.3">
      <c r="A19"/>
      <c r="B19" s="91">
        <v>11</v>
      </c>
      <c r="C19" s="114">
        <v>3</v>
      </c>
      <c r="D19" s="114">
        <v>4</v>
      </c>
      <c r="E19" s="105">
        <v>45567</v>
      </c>
      <c r="F19"/>
      <c r="I19" s="100">
        <f t="shared" si="3"/>
        <v>3</v>
      </c>
      <c r="J19" s="38">
        <f t="shared" si="2"/>
        <v>3</v>
      </c>
      <c r="K19" s="38">
        <f t="shared" si="2"/>
        <v>3</v>
      </c>
      <c r="L19" s="38">
        <f t="shared" si="2"/>
        <v>3</v>
      </c>
      <c r="M19" s="38">
        <f t="shared" si="2"/>
        <v>3</v>
      </c>
      <c r="N19" s="38">
        <f t="shared" si="2"/>
        <v>3</v>
      </c>
      <c r="O19" s="38">
        <f t="shared" si="2"/>
        <v>3</v>
      </c>
      <c r="P19" s="38">
        <f t="shared" si="2"/>
        <v>3</v>
      </c>
      <c r="Q19" s="38">
        <f t="shared" si="2"/>
        <v>3</v>
      </c>
      <c r="R19" s="38">
        <f t="shared" si="2"/>
        <v>3</v>
      </c>
      <c r="S19" s="38">
        <f t="shared" si="2"/>
        <v>4</v>
      </c>
      <c r="T19" s="101">
        <f t="shared" si="2"/>
        <v>4</v>
      </c>
    </row>
    <row r="20" spans="1:20" ht="16.5" x14ac:dyDescent="0.3">
      <c r="A20"/>
      <c r="B20" s="91">
        <v>12</v>
      </c>
      <c r="C20" s="114">
        <v>10</v>
      </c>
      <c r="D20" s="114">
        <v>4</v>
      </c>
      <c r="E20" s="105">
        <v>45626</v>
      </c>
      <c r="F20"/>
      <c r="I20" s="100">
        <f t="shared" si="3"/>
        <v>10</v>
      </c>
      <c r="J20" s="38">
        <f t="shared" si="2"/>
        <v>10</v>
      </c>
      <c r="K20" s="38">
        <f t="shared" si="2"/>
        <v>10</v>
      </c>
      <c r="L20" s="38">
        <f t="shared" si="2"/>
        <v>10</v>
      </c>
      <c r="M20" s="38">
        <f t="shared" si="2"/>
        <v>10</v>
      </c>
      <c r="N20" s="38">
        <f t="shared" si="2"/>
        <v>10</v>
      </c>
      <c r="O20" s="38">
        <f t="shared" si="2"/>
        <v>10</v>
      </c>
      <c r="P20" s="38">
        <f t="shared" si="2"/>
        <v>10</v>
      </c>
      <c r="Q20" s="38">
        <f t="shared" si="2"/>
        <v>10</v>
      </c>
      <c r="R20" s="38">
        <f t="shared" si="2"/>
        <v>10</v>
      </c>
      <c r="S20" s="38">
        <f t="shared" si="2"/>
        <v>10</v>
      </c>
      <c r="T20" s="101">
        <f t="shared" si="2"/>
        <v>4</v>
      </c>
    </row>
    <row r="21" spans="1:20" ht="16.5" x14ac:dyDescent="0.3">
      <c r="A21"/>
      <c r="B21" s="91">
        <v>13</v>
      </c>
      <c r="C21" s="114">
        <v>15</v>
      </c>
      <c r="D21" s="114">
        <v>8</v>
      </c>
      <c r="E21" s="105">
        <v>45631</v>
      </c>
      <c r="F21"/>
      <c r="I21" s="100">
        <f t="shared" si="3"/>
        <v>15</v>
      </c>
      <c r="J21" s="38">
        <f t="shared" si="2"/>
        <v>15</v>
      </c>
      <c r="K21" s="38">
        <f t="shared" si="2"/>
        <v>15</v>
      </c>
      <c r="L21" s="38">
        <f t="shared" si="2"/>
        <v>15</v>
      </c>
      <c r="M21" s="38">
        <f t="shared" si="2"/>
        <v>15</v>
      </c>
      <c r="N21" s="38">
        <f t="shared" si="2"/>
        <v>15</v>
      </c>
      <c r="O21" s="38">
        <f t="shared" si="2"/>
        <v>15</v>
      </c>
      <c r="P21" s="38">
        <f t="shared" si="2"/>
        <v>15</v>
      </c>
      <c r="Q21" s="38">
        <f t="shared" si="2"/>
        <v>15</v>
      </c>
      <c r="R21" s="38">
        <f t="shared" si="2"/>
        <v>15</v>
      </c>
      <c r="S21" s="38">
        <f t="shared" si="2"/>
        <v>15</v>
      </c>
      <c r="T21" s="101">
        <f t="shared" si="2"/>
        <v>15</v>
      </c>
    </row>
    <row r="22" spans="1:20" ht="16.5" x14ac:dyDescent="0.3">
      <c r="A22"/>
      <c r="B22" s="91">
        <v>14</v>
      </c>
      <c r="C22" s="114">
        <v>20</v>
      </c>
      <c r="D22" s="114">
        <v>4</v>
      </c>
      <c r="E22" s="105">
        <v>45310</v>
      </c>
      <c r="F22"/>
      <c r="I22" s="100">
        <f t="shared" si="3"/>
        <v>20</v>
      </c>
      <c r="J22" s="38">
        <f t="shared" si="2"/>
        <v>4</v>
      </c>
      <c r="K22" s="38">
        <f t="shared" si="2"/>
        <v>4</v>
      </c>
      <c r="L22" s="38">
        <f t="shared" si="2"/>
        <v>4</v>
      </c>
      <c r="M22" s="38">
        <f t="shared" si="2"/>
        <v>4</v>
      </c>
      <c r="N22" s="38">
        <f t="shared" si="2"/>
        <v>4</v>
      </c>
      <c r="O22" s="38">
        <f t="shared" si="2"/>
        <v>4</v>
      </c>
      <c r="P22" s="38">
        <f t="shared" si="2"/>
        <v>4</v>
      </c>
      <c r="Q22" s="38">
        <f t="shared" si="2"/>
        <v>4</v>
      </c>
      <c r="R22" s="38">
        <f t="shared" si="2"/>
        <v>4</v>
      </c>
      <c r="S22" s="38">
        <f t="shared" si="2"/>
        <v>4</v>
      </c>
      <c r="T22" s="101">
        <f t="shared" si="2"/>
        <v>4</v>
      </c>
    </row>
    <row r="23" spans="1:20" ht="16.5" x14ac:dyDescent="0.3">
      <c r="A23"/>
      <c r="B23" s="91">
        <v>15</v>
      </c>
      <c r="C23" s="114">
        <v>25</v>
      </c>
      <c r="D23" s="114">
        <v>8</v>
      </c>
      <c r="E23" s="105">
        <v>45449</v>
      </c>
      <c r="F23"/>
      <c r="I23" s="100">
        <f t="shared" si="3"/>
        <v>25</v>
      </c>
      <c r="J23" s="38">
        <f t="shared" si="2"/>
        <v>25</v>
      </c>
      <c r="K23" s="38">
        <f t="shared" si="2"/>
        <v>25</v>
      </c>
      <c r="L23" s="38">
        <f t="shared" si="2"/>
        <v>25</v>
      </c>
      <c r="M23" s="38">
        <f t="shared" si="2"/>
        <v>25</v>
      </c>
      <c r="N23" s="38">
        <f t="shared" si="2"/>
        <v>25</v>
      </c>
      <c r="O23" s="38">
        <f t="shared" si="2"/>
        <v>8</v>
      </c>
      <c r="P23" s="38">
        <f t="shared" si="2"/>
        <v>8</v>
      </c>
      <c r="Q23" s="38">
        <f t="shared" si="2"/>
        <v>8</v>
      </c>
      <c r="R23" s="38">
        <f t="shared" si="2"/>
        <v>8</v>
      </c>
      <c r="S23" s="38">
        <f t="shared" si="2"/>
        <v>8</v>
      </c>
      <c r="T23" s="101">
        <f t="shared" si="2"/>
        <v>8</v>
      </c>
    </row>
    <row r="24" spans="1:20" ht="16.5" x14ac:dyDescent="0.3">
      <c r="A24"/>
      <c r="B24" s="91">
        <v>16</v>
      </c>
      <c r="C24" s="114">
        <v>5</v>
      </c>
      <c r="D24" s="114">
        <v>2</v>
      </c>
      <c r="E24" s="105">
        <v>45638</v>
      </c>
      <c r="F24"/>
      <c r="I24" s="100">
        <f t="shared" si="3"/>
        <v>5</v>
      </c>
      <c r="J24" s="38">
        <f t="shared" si="2"/>
        <v>5</v>
      </c>
      <c r="K24" s="38">
        <f t="shared" si="2"/>
        <v>5</v>
      </c>
      <c r="L24" s="38">
        <f t="shared" si="2"/>
        <v>5</v>
      </c>
      <c r="M24" s="38">
        <f t="shared" si="2"/>
        <v>5</v>
      </c>
      <c r="N24" s="38">
        <f t="shared" si="2"/>
        <v>5</v>
      </c>
      <c r="O24" s="38">
        <f t="shared" si="2"/>
        <v>5</v>
      </c>
      <c r="P24" s="38">
        <f t="shared" si="2"/>
        <v>5</v>
      </c>
      <c r="Q24" s="38">
        <f t="shared" si="2"/>
        <v>5</v>
      </c>
      <c r="R24" s="38">
        <f t="shared" si="2"/>
        <v>5</v>
      </c>
      <c r="S24" s="38">
        <f t="shared" si="2"/>
        <v>5</v>
      </c>
      <c r="T24" s="101">
        <f t="shared" si="2"/>
        <v>5</v>
      </c>
    </row>
    <row r="25" spans="1:20" ht="16.5" x14ac:dyDescent="0.3">
      <c r="A25"/>
      <c r="B25" s="91">
        <v>17</v>
      </c>
      <c r="C25" s="114">
        <v>10</v>
      </c>
      <c r="D25" s="114">
        <v>8</v>
      </c>
      <c r="E25" s="105">
        <v>45393</v>
      </c>
      <c r="F25"/>
      <c r="I25" s="100">
        <f t="shared" si="3"/>
        <v>10</v>
      </c>
      <c r="J25" s="38">
        <f t="shared" si="3"/>
        <v>10</v>
      </c>
      <c r="K25" s="38">
        <f t="shared" si="3"/>
        <v>10</v>
      </c>
      <c r="L25" s="38">
        <f t="shared" si="3"/>
        <v>10</v>
      </c>
      <c r="M25" s="38">
        <f t="shared" si="3"/>
        <v>8</v>
      </c>
      <c r="N25" s="38">
        <f t="shared" si="3"/>
        <v>8</v>
      </c>
      <c r="O25" s="38">
        <f t="shared" si="3"/>
        <v>8</v>
      </c>
      <c r="P25" s="38">
        <f t="shared" si="3"/>
        <v>8</v>
      </c>
      <c r="Q25" s="38">
        <f t="shared" si="3"/>
        <v>8</v>
      </c>
      <c r="R25" s="38">
        <f t="shared" si="3"/>
        <v>8</v>
      </c>
      <c r="S25" s="38">
        <f t="shared" si="3"/>
        <v>8</v>
      </c>
      <c r="T25" s="101">
        <f t="shared" si="3"/>
        <v>8</v>
      </c>
    </row>
    <row r="26" spans="1:20" ht="16.5" x14ac:dyDescent="0.3">
      <c r="A26"/>
      <c r="B26" s="91">
        <v>18</v>
      </c>
      <c r="C26" s="114">
        <v>15</v>
      </c>
      <c r="D26" s="114">
        <v>6</v>
      </c>
      <c r="E26" s="105">
        <v>45279</v>
      </c>
      <c r="F26"/>
      <c r="I26" s="100">
        <f t="shared" si="3"/>
        <v>6</v>
      </c>
      <c r="J26" s="38">
        <f t="shared" si="3"/>
        <v>6</v>
      </c>
      <c r="K26" s="38">
        <f t="shared" si="3"/>
        <v>6</v>
      </c>
      <c r="L26" s="38">
        <f t="shared" si="3"/>
        <v>6</v>
      </c>
      <c r="M26" s="38">
        <f t="shared" si="3"/>
        <v>6</v>
      </c>
      <c r="N26" s="38">
        <f t="shared" si="3"/>
        <v>6</v>
      </c>
      <c r="O26" s="38">
        <f t="shared" si="3"/>
        <v>6</v>
      </c>
      <c r="P26" s="38">
        <f t="shared" si="3"/>
        <v>6</v>
      </c>
      <c r="Q26" s="38">
        <f t="shared" si="3"/>
        <v>6</v>
      </c>
      <c r="R26" s="38">
        <f t="shared" si="3"/>
        <v>6</v>
      </c>
      <c r="S26" s="38">
        <f t="shared" si="3"/>
        <v>6</v>
      </c>
      <c r="T26" s="101">
        <f t="shared" si="3"/>
        <v>6</v>
      </c>
    </row>
    <row r="27" spans="1:20" ht="16.5" x14ac:dyDescent="0.3">
      <c r="A27"/>
      <c r="B27" s="91">
        <v>19</v>
      </c>
      <c r="C27" s="114">
        <v>20</v>
      </c>
      <c r="D27" s="114">
        <v>4</v>
      </c>
      <c r="E27" s="105">
        <v>45272</v>
      </c>
      <c r="F27"/>
      <c r="I27" s="100">
        <f t="shared" si="3"/>
        <v>4</v>
      </c>
      <c r="J27" s="38">
        <f t="shared" si="3"/>
        <v>4</v>
      </c>
      <c r="K27" s="38">
        <f t="shared" si="3"/>
        <v>4</v>
      </c>
      <c r="L27" s="38">
        <f t="shared" si="3"/>
        <v>4</v>
      </c>
      <c r="M27" s="38">
        <f t="shared" si="3"/>
        <v>4</v>
      </c>
      <c r="N27" s="38">
        <f t="shared" si="3"/>
        <v>4</v>
      </c>
      <c r="O27" s="38">
        <f t="shared" si="3"/>
        <v>4</v>
      </c>
      <c r="P27" s="38">
        <f t="shared" si="3"/>
        <v>4</v>
      </c>
      <c r="Q27" s="38">
        <f t="shared" si="3"/>
        <v>4</v>
      </c>
      <c r="R27" s="38">
        <f t="shared" si="3"/>
        <v>4</v>
      </c>
      <c r="S27" s="38">
        <f t="shared" si="3"/>
        <v>4</v>
      </c>
      <c r="T27" s="101">
        <f t="shared" si="3"/>
        <v>4</v>
      </c>
    </row>
    <row r="28" spans="1:20" ht="16.5" x14ac:dyDescent="0.3">
      <c r="A28"/>
      <c r="B28" s="91">
        <v>20</v>
      </c>
      <c r="C28" s="114">
        <v>25</v>
      </c>
      <c r="D28" s="114">
        <v>25</v>
      </c>
      <c r="E28" s="105">
        <v>47484</v>
      </c>
      <c r="F28"/>
      <c r="I28" s="100">
        <f t="shared" si="3"/>
        <v>25</v>
      </c>
      <c r="J28" s="38">
        <f t="shared" si="3"/>
        <v>25</v>
      </c>
      <c r="K28" s="38">
        <f t="shared" si="3"/>
        <v>25</v>
      </c>
      <c r="L28" s="38">
        <f t="shared" si="3"/>
        <v>25</v>
      </c>
      <c r="M28" s="38">
        <f t="shared" si="3"/>
        <v>25</v>
      </c>
      <c r="N28" s="38">
        <f t="shared" si="3"/>
        <v>25</v>
      </c>
      <c r="O28" s="38">
        <f t="shared" si="3"/>
        <v>25</v>
      </c>
      <c r="P28" s="38">
        <f t="shared" si="3"/>
        <v>25</v>
      </c>
      <c r="Q28" s="38">
        <f t="shared" si="3"/>
        <v>25</v>
      </c>
      <c r="R28" s="38">
        <f t="shared" si="3"/>
        <v>25</v>
      </c>
      <c r="S28" s="38">
        <f t="shared" si="3"/>
        <v>25</v>
      </c>
      <c r="T28" s="101">
        <f t="shared" si="3"/>
        <v>25</v>
      </c>
    </row>
    <row r="29" spans="1:20" ht="16.5" x14ac:dyDescent="0.3">
      <c r="A29"/>
      <c r="B29" s="93"/>
      <c r="C29"/>
      <c r="D29"/>
      <c r="E29" s="94"/>
      <c r="I29" s="100" t="str">
        <f t="shared" si="3"/>
        <v/>
      </c>
      <c r="J29" s="38" t="str">
        <f t="shared" si="3"/>
        <v/>
      </c>
      <c r="K29" s="38" t="str">
        <f t="shared" si="3"/>
        <v/>
      </c>
      <c r="L29" s="38" t="str">
        <f t="shared" si="3"/>
        <v/>
      </c>
      <c r="M29" s="38" t="str">
        <f t="shared" si="3"/>
        <v/>
      </c>
      <c r="N29" s="38" t="str">
        <f t="shared" si="3"/>
        <v/>
      </c>
      <c r="O29" s="38" t="str">
        <f t="shared" si="3"/>
        <v/>
      </c>
      <c r="P29" s="38" t="str">
        <f t="shared" si="3"/>
        <v/>
      </c>
      <c r="Q29" s="38" t="str">
        <f t="shared" si="3"/>
        <v/>
      </c>
      <c r="R29" s="38" t="str">
        <f t="shared" si="3"/>
        <v/>
      </c>
      <c r="S29" s="38" t="str">
        <f t="shared" si="3"/>
        <v/>
      </c>
      <c r="T29" s="101" t="str">
        <f t="shared" si="3"/>
        <v/>
      </c>
    </row>
    <row r="30" spans="1:20" ht="16.5" x14ac:dyDescent="0.3">
      <c r="A30"/>
      <c r="B30" s="93"/>
      <c r="C30"/>
      <c r="D30"/>
      <c r="E30" s="94"/>
      <c r="I30" s="100" t="str">
        <f t="shared" si="3"/>
        <v/>
      </c>
      <c r="J30" s="38" t="str">
        <f t="shared" si="3"/>
        <v/>
      </c>
      <c r="K30" s="38" t="str">
        <f t="shared" si="3"/>
        <v/>
      </c>
      <c r="L30" s="38" t="str">
        <f t="shared" si="3"/>
        <v/>
      </c>
      <c r="M30" s="38" t="str">
        <f t="shared" si="3"/>
        <v/>
      </c>
      <c r="N30" s="38" t="str">
        <f t="shared" si="3"/>
        <v/>
      </c>
      <c r="O30" s="38" t="str">
        <f t="shared" si="3"/>
        <v/>
      </c>
      <c r="P30" s="38" t="str">
        <f t="shared" si="3"/>
        <v/>
      </c>
      <c r="Q30" s="38" t="str">
        <f t="shared" si="3"/>
        <v/>
      </c>
      <c r="R30" s="38" t="str">
        <f t="shared" si="3"/>
        <v/>
      </c>
      <c r="S30" s="38" t="str">
        <f t="shared" si="3"/>
        <v/>
      </c>
      <c r="T30" s="101" t="str">
        <f t="shared" si="3"/>
        <v/>
      </c>
    </row>
    <row r="31" spans="1:20" ht="16.5" x14ac:dyDescent="0.3">
      <c r="A31"/>
      <c r="B31" s="93"/>
      <c r="C31"/>
      <c r="D31"/>
      <c r="E31" s="94"/>
      <c r="I31" s="100" t="str">
        <f t="shared" si="3"/>
        <v/>
      </c>
      <c r="J31" s="38" t="str">
        <f t="shared" si="3"/>
        <v/>
      </c>
      <c r="K31" s="38" t="str">
        <f t="shared" si="3"/>
        <v/>
      </c>
      <c r="L31" s="38" t="str">
        <f t="shared" si="3"/>
        <v/>
      </c>
      <c r="M31" s="38" t="str">
        <f t="shared" si="3"/>
        <v/>
      </c>
      <c r="N31" s="38" t="str">
        <f t="shared" si="3"/>
        <v/>
      </c>
      <c r="O31" s="38" t="str">
        <f t="shared" si="3"/>
        <v/>
      </c>
      <c r="P31" s="38" t="str">
        <f t="shared" si="3"/>
        <v/>
      </c>
      <c r="Q31" s="38" t="str">
        <f t="shared" si="3"/>
        <v/>
      </c>
      <c r="R31" s="38" t="str">
        <f t="shared" si="3"/>
        <v/>
      </c>
      <c r="S31" s="38" t="str">
        <f t="shared" si="3"/>
        <v/>
      </c>
      <c r="T31" s="101" t="str">
        <f t="shared" si="3"/>
        <v/>
      </c>
    </row>
    <row r="32" spans="1:20" ht="16.5" x14ac:dyDescent="0.3">
      <c r="A32"/>
      <c r="B32" s="93"/>
      <c r="C32"/>
      <c r="D32"/>
      <c r="E32" s="94"/>
      <c r="I32" s="100" t="str">
        <f t="shared" si="3"/>
        <v/>
      </c>
      <c r="J32" s="38" t="str">
        <f t="shared" si="3"/>
        <v/>
      </c>
      <c r="K32" s="38" t="str">
        <f t="shared" si="3"/>
        <v/>
      </c>
      <c r="L32" s="38" t="str">
        <f t="shared" si="3"/>
        <v/>
      </c>
      <c r="M32" s="38" t="str">
        <f t="shared" si="3"/>
        <v/>
      </c>
      <c r="N32" s="38" t="str">
        <f t="shared" si="3"/>
        <v/>
      </c>
      <c r="O32" s="38" t="str">
        <f t="shared" si="3"/>
        <v/>
      </c>
      <c r="P32" s="38" t="str">
        <f t="shared" si="3"/>
        <v/>
      </c>
      <c r="Q32" s="38" t="str">
        <f t="shared" si="3"/>
        <v/>
      </c>
      <c r="R32" s="38" t="str">
        <f t="shared" si="3"/>
        <v/>
      </c>
      <c r="S32" s="38" t="str">
        <f t="shared" si="3"/>
        <v/>
      </c>
      <c r="T32" s="101" t="str">
        <f t="shared" si="3"/>
        <v/>
      </c>
    </row>
    <row r="33" spans="1:20" ht="16.5" x14ac:dyDescent="0.3">
      <c r="A33"/>
      <c r="B33" s="93"/>
      <c r="C33"/>
      <c r="D33"/>
      <c r="E33" s="94"/>
      <c r="I33" s="100" t="str">
        <f t="shared" si="3"/>
        <v/>
      </c>
      <c r="J33" s="38" t="str">
        <f t="shared" si="3"/>
        <v/>
      </c>
      <c r="K33" s="38" t="str">
        <f t="shared" si="3"/>
        <v/>
      </c>
      <c r="L33" s="38" t="str">
        <f t="shared" si="3"/>
        <v/>
      </c>
      <c r="M33" s="38" t="str">
        <f t="shared" si="3"/>
        <v/>
      </c>
      <c r="N33" s="38" t="str">
        <f t="shared" si="3"/>
        <v/>
      </c>
      <c r="O33" s="38" t="str">
        <f t="shared" si="3"/>
        <v/>
      </c>
      <c r="P33" s="38" t="str">
        <f t="shared" si="3"/>
        <v/>
      </c>
      <c r="Q33" s="38" t="str">
        <f t="shared" si="3"/>
        <v/>
      </c>
      <c r="R33" s="38" t="str">
        <f t="shared" si="3"/>
        <v/>
      </c>
      <c r="S33" s="38" t="str">
        <f t="shared" si="3"/>
        <v/>
      </c>
      <c r="T33" s="101" t="str">
        <f t="shared" si="3"/>
        <v/>
      </c>
    </row>
    <row r="34" spans="1:20" ht="16.5" x14ac:dyDescent="0.3">
      <c r="A34"/>
      <c r="B34" s="93"/>
      <c r="C34"/>
      <c r="D34"/>
      <c r="E34" s="94"/>
      <c r="I34" s="100" t="str">
        <f t="shared" si="3"/>
        <v/>
      </c>
      <c r="J34" s="38" t="str">
        <f t="shared" si="3"/>
        <v/>
      </c>
      <c r="K34" s="38" t="str">
        <f t="shared" si="3"/>
        <v/>
      </c>
      <c r="L34" s="38" t="str">
        <f t="shared" si="3"/>
        <v/>
      </c>
      <c r="M34" s="38" t="str">
        <f t="shared" si="3"/>
        <v/>
      </c>
      <c r="N34" s="38" t="str">
        <f t="shared" si="3"/>
        <v/>
      </c>
      <c r="O34" s="38" t="str">
        <f t="shared" si="3"/>
        <v/>
      </c>
      <c r="P34" s="38" t="str">
        <f t="shared" si="3"/>
        <v/>
      </c>
      <c r="Q34" s="38" t="str">
        <f t="shared" si="3"/>
        <v/>
      </c>
      <c r="R34" s="38" t="str">
        <f t="shared" si="3"/>
        <v/>
      </c>
      <c r="S34" s="38" t="str">
        <f t="shared" si="3"/>
        <v/>
      </c>
      <c r="T34" s="101" t="str">
        <f t="shared" si="3"/>
        <v/>
      </c>
    </row>
    <row r="35" spans="1:20" ht="16.5" x14ac:dyDescent="0.3">
      <c r="A35"/>
      <c r="B35" s="93"/>
      <c r="C35"/>
      <c r="D35"/>
      <c r="E35" s="94"/>
      <c r="I35" s="100" t="str">
        <f t="shared" si="3"/>
        <v/>
      </c>
      <c r="J35" s="38" t="str">
        <f t="shared" si="3"/>
        <v/>
      </c>
      <c r="K35" s="38" t="str">
        <f t="shared" si="3"/>
        <v/>
      </c>
      <c r="L35" s="38" t="str">
        <f t="shared" si="3"/>
        <v/>
      </c>
      <c r="M35" s="38" t="str">
        <f t="shared" si="3"/>
        <v/>
      </c>
      <c r="N35" s="38" t="str">
        <f t="shared" si="3"/>
        <v/>
      </c>
      <c r="O35" s="38" t="str">
        <f t="shared" si="3"/>
        <v/>
      </c>
      <c r="P35" s="38" t="str">
        <f t="shared" si="3"/>
        <v/>
      </c>
      <c r="Q35" s="38" t="str">
        <f t="shared" si="3"/>
        <v/>
      </c>
      <c r="R35" s="38" t="str">
        <f t="shared" si="3"/>
        <v/>
      </c>
      <c r="S35" s="38" t="str">
        <f t="shared" si="3"/>
        <v/>
      </c>
      <c r="T35" s="101" t="str">
        <f t="shared" si="3"/>
        <v/>
      </c>
    </row>
    <row r="36" spans="1:20" ht="16.5" x14ac:dyDescent="0.3">
      <c r="A36"/>
      <c r="B36" s="93"/>
      <c r="C36"/>
      <c r="D36"/>
      <c r="E36" s="94"/>
      <c r="I36" s="100" t="str">
        <f t="shared" si="3"/>
        <v/>
      </c>
      <c r="J36" s="38" t="str">
        <f t="shared" si="3"/>
        <v/>
      </c>
      <c r="K36" s="38" t="str">
        <f t="shared" si="3"/>
        <v/>
      </c>
      <c r="L36" s="38" t="str">
        <f t="shared" si="3"/>
        <v/>
      </c>
      <c r="M36" s="38" t="str">
        <f t="shared" si="3"/>
        <v/>
      </c>
      <c r="N36" s="38" t="str">
        <f t="shared" si="3"/>
        <v/>
      </c>
      <c r="O36" s="38" t="str">
        <f t="shared" si="3"/>
        <v/>
      </c>
      <c r="P36" s="38" t="str">
        <f t="shared" si="3"/>
        <v/>
      </c>
      <c r="Q36" s="38" t="str">
        <f t="shared" si="3"/>
        <v/>
      </c>
      <c r="R36" s="38" t="str">
        <f t="shared" si="3"/>
        <v/>
      </c>
      <c r="S36" s="38" t="str">
        <f t="shared" si="3"/>
        <v/>
      </c>
      <c r="T36" s="101" t="str">
        <f t="shared" si="3"/>
        <v/>
      </c>
    </row>
    <row r="37" spans="1:20" ht="16.5" x14ac:dyDescent="0.3">
      <c r="A37"/>
      <c r="B37" s="93"/>
      <c r="C37"/>
      <c r="D37"/>
      <c r="E37" s="94"/>
      <c r="I37" s="100" t="str">
        <f t="shared" si="3"/>
        <v/>
      </c>
      <c r="J37" s="38" t="str">
        <f t="shared" si="3"/>
        <v/>
      </c>
      <c r="K37" s="38" t="str">
        <f t="shared" si="3"/>
        <v/>
      </c>
      <c r="L37" s="38" t="str">
        <f t="shared" si="3"/>
        <v/>
      </c>
      <c r="M37" s="38" t="str">
        <f t="shared" si="3"/>
        <v/>
      </c>
      <c r="N37" s="38" t="str">
        <f t="shared" si="3"/>
        <v/>
      </c>
      <c r="O37" s="38" t="str">
        <f t="shared" si="3"/>
        <v/>
      </c>
      <c r="P37" s="38" t="str">
        <f t="shared" si="3"/>
        <v/>
      </c>
      <c r="Q37" s="38" t="str">
        <f t="shared" si="3"/>
        <v/>
      </c>
      <c r="R37" s="38" t="str">
        <f t="shared" si="3"/>
        <v/>
      </c>
      <c r="S37" s="38" t="str">
        <f t="shared" si="3"/>
        <v/>
      </c>
      <c r="T37" s="101" t="str">
        <f t="shared" si="3"/>
        <v/>
      </c>
    </row>
    <row r="38" spans="1:20" ht="16.5" x14ac:dyDescent="0.3">
      <c r="A38"/>
      <c r="B38" s="93"/>
      <c r="C38"/>
      <c r="D38"/>
      <c r="E38" s="94"/>
      <c r="I38" s="100" t="str">
        <f t="shared" si="3"/>
        <v/>
      </c>
      <c r="J38" s="38" t="str">
        <f t="shared" si="3"/>
        <v/>
      </c>
      <c r="K38" s="38" t="str">
        <f t="shared" si="3"/>
        <v/>
      </c>
      <c r="L38" s="38" t="str">
        <f t="shared" si="3"/>
        <v/>
      </c>
      <c r="M38" s="38" t="str">
        <f t="shared" si="3"/>
        <v/>
      </c>
      <c r="N38" s="38" t="str">
        <f t="shared" si="3"/>
        <v/>
      </c>
      <c r="O38" s="38" t="str">
        <f t="shared" si="3"/>
        <v/>
      </c>
      <c r="P38" s="38" t="str">
        <f t="shared" si="3"/>
        <v/>
      </c>
      <c r="Q38" s="38" t="str">
        <f t="shared" si="3"/>
        <v/>
      </c>
      <c r="R38" s="38" t="str">
        <f t="shared" si="3"/>
        <v/>
      </c>
      <c r="S38" s="38" t="str">
        <f t="shared" si="3"/>
        <v/>
      </c>
      <c r="T38" s="101" t="str">
        <f t="shared" si="3"/>
        <v/>
      </c>
    </row>
    <row r="39" spans="1:20" ht="16.5" x14ac:dyDescent="0.3">
      <c r="A39"/>
      <c r="B39" s="93"/>
      <c r="C39"/>
      <c r="D39"/>
      <c r="E39" s="94"/>
      <c r="I39" s="100" t="str">
        <f t="shared" si="3"/>
        <v/>
      </c>
      <c r="J39" s="38" t="str">
        <f t="shared" si="3"/>
        <v/>
      </c>
      <c r="K39" s="38" t="str">
        <f t="shared" si="3"/>
        <v/>
      </c>
      <c r="L39" s="38" t="str">
        <f t="shared" si="3"/>
        <v/>
      </c>
      <c r="M39" s="38" t="str">
        <f t="shared" si="3"/>
        <v/>
      </c>
      <c r="N39" s="38" t="str">
        <f t="shared" si="3"/>
        <v/>
      </c>
      <c r="O39" s="38" t="str">
        <f t="shared" si="3"/>
        <v/>
      </c>
      <c r="P39" s="38" t="str">
        <f t="shared" si="3"/>
        <v/>
      </c>
      <c r="Q39" s="38" t="str">
        <f t="shared" si="3"/>
        <v/>
      </c>
      <c r="R39" s="38" t="str">
        <f t="shared" si="3"/>
        <v/>
      </c>
      <c r="S39" s="38" t="str">
        <f t="shared" si="3"/>
        <v/>
      </c>
      <c r="T39" s="101" t="str">
        <f t="shared" si="3"/>
        <v/>
      </c>
    </row>
    <row r="40" spans="1:20" ht="16.5" x14ac:dyDescent="0.3">
      <c r="A40"/>
      <c r="B40" s="93"/>
      <c r="C40"/>
      <c r="D40"/>
      <c r="E40" s="94"/>
      <c r="I40" s="100" t="str">
        <f t="shared" si="3"/>
        <v/>
      </c>
      <c r="J40" s="38" t="str">
        <f t="shared" si="3"/>
        <v/>
      </c>
      <c r="K40" s="38" t="str">
        <f t="shared" si="3"/>
        <v/>
      </c>
      <c r="L40" s="38" t="str">
        <f t="shared" si="3"/>
        <v/>
      </c>
      <c r="M40" s="38" t="str">
        <f t="shared" si="3"/>
        <v/>
      </c>
      <c r="N40" s="38" t="str">
        <f t="shared" si="3"/>
        <v/>
      </c>
      <c r="O40" s="38" t="str">
        <f t="shared" si="3"/>
        <v/>
      </c>
      <c r="P40" s="38" t="str">
        <f t="shared" si="3"/>
        <v/>
      </c>
      <c r="Q40" s="38" t="str">
        <f t="shared" si="3"/>
        <v/>
      </c>
      <c r="R40" s="38" t="str">
        <f t="shared" si="3"/>
        <v/>
      </c>
      <c r="S40" s="38" t="str">
        <f t="shared" si="3"/>
        <v/>
      </c>
      <c r="T40" s="101" t="str">
        <f t="shared" si="3"/>
        <v/>
      </c>
    </row>
    <row r="41" spans="1:20" ht="16.5" x14ac:dyDescent="0.3">
      <c r="A41"/>
      <c r="B41" s="93"/>
      <c r="C41"/>
      <c r="D41"/>
      <c r="E41" s="94"/>
      <c r="I41" s="100" t="str">
        <f t="shared" si="3"/>
        <v/>
      </c>
      <c r="J41" s="38" t="str">
        <f t="shared" si="3"/>
        <v/>
      </c>
      <c r="K41" s="38" t="str">
        <f t="shared" si="3"/>
        <v/>
      </c>
      <c r="L41" s="38" t="str">
        <f t="shared" si="3"/>
        <v/>
      </c>
      <c r="M41" s="38" t="str">
        <f t="shared" si="3"/>
        <v/>
      </c>
      <c r="N41" s="38" t="str">
        <f t="shared" si="3"/>
        <v/>
      </c>
      <c r="O41" s="38" t="str">
        <f t="shared" si="3"/>
        <v/>
      </c>
      <c r="P41" s="38" t="str">
        <f t="shared" si="3"/>
        <v/>
      </c>
      <c r="Q41" s="38" t="str">
        <f t="shared" si="3"/>
        <v/>
      </c>
      <c r="R41" s="38" t="str">
        <f t="shared" si="3"/>
        <v/>
      </c>
      <c r="S41" s="38" t="str">
        <f t="shared" si="3"/>
        <v/>
      </c>
      <c r="T41" s="101" t="str">
        <f t="shared" si="3"/>
        <v/>
      </c>
    </row>
    <row r="42" spans="1:20" ht="16.5" x14ac:dyDescent="0.3">
      <c r="A42"/>
      <c r="B42" s="93"/>
      <c r="C42"/>
      <c r="D42"/>
      <c r="E42" s="94"/>
      <c r="I42" s="100" t="str">
        <f t="shared" ref="I42:T63" si="4">IF(OR(I$8="", $E42=""), "", IF(I$8&lt;$E42, IF($C42=0, "", $C42), $D42))</f>
        <v/>
      </c>
      <c r="J42" s="38" t="str">
        <f t="shared" si="4"/>
        <v/>
      </c>
      <c r="K42" s="38" t="str">
        <f t="shared" si="4"/>
        <v/>
      </c>
      <c r="L42" s="38" t="str">
        <f t="shared" si="4"/>
        <v/>
      </c>
      <c r="M42" s="38" t="str">
        <f t="shared" si="4"/>
        <v/>
      </c>
      <c r="N42" s="38" t="str">
        <f t="shared" si="4"/>
        <v/>
      </c>
      <c r="O42" s="38" t="str">
        <f t="shared" si="4"/>
        <v/>
      </c>
      <c r="P42" s="38" t="str">
        <f t="shared" si="4"/>
        <v/>
      </c>
      <c r="Q42" s="38" t="str">
        <f t="shared" si="4"/>
        <v/>
      </c>
      <c r="R42" s="38" t="str">
        <f t="shared" si="4"/>
        <v/>
      </c>
      <c r="S42" s="38" t="str">
        <f t="shared" si="4"/>
        <v/>
      </c>
      <c r="T42" s="101" t="str">
        <f t="shared" si="4"/>
        <v/>
      </c>
    </row>
    <row r="43" spans="1:20" ht="16.5" x14ac:dyDescent="0.3">
      <c r="A43"/>
      <c r="B43" s="93"/>
      <c r="C43"/>
      <c r="D43"/>
      <c r="E43" s="94"/>
      <c r="I43" s="100" t="str">
        <f t="shared" si="4"/>
        <v/>
      </c>
      <c r="J43" s="38" t="str">
        <f t="shared" si="4"/>
        <v/>
      </c>
      <c r="K43" s="38" t="str">
        <f t="shared" si="4"/>
        <v/>
      </c>
      <c r="L43" s="38" t="str">
        <f t="shared" si="4"/>
        <v/>
      </c>
      <c r="M43" s="38" t="str">
        <f t="shared" si="4"/>
        <v/>
      </c>
      <c r="N43" s="38" t="str">
        <f t="shared" si="4"/>
        <v/>
      </c>
      <c r="O43" s="38" t="str">
        <f t="shared" si="4"/>
        <v/>
      </c>
      <c r="P43" s="38" t="str">
        <f t="shared" si="4"/>
        <v/>
      </c>
      <c r="Q43" s="38" t="str">
        <f t="shared" si="4"/>
        <v/>
      </c>
      <c r="R43" s="38" t="str">
        <f t="shared" si="4"/>
        <v/>
      </c>
      <c r="S43" s="38" t="str">
        <f t="shared" si="4"/>
        <v/>
      </c>
      <c r="T43" s="101" t="str">
        <f t="shared" si="4"/>
        <v/>
      </c>
    </row>
    <row r="44" spans="1:20" ht="16.5" x14ac:dyDescent="0.3">
      <c r="A44"/>
      <c r="B44" s="93"/>
      <c r="C44"/>
      <c r="D44"/>
      <c r="E44" s="94"/>
      <c r="I44" s="100" t="str">
        <f t="shared" si="4"/>
        <v/>
      </c>
      <c r="J44" s="38" t="str">
        <f t="shared" si="4"/>
        <v/>
      </c>
      <c r="K44" s="38" t="str">
        <f t="shared" si="4"/>
        <v/>
      </c>
      <c r="L44" s="38" t="str">
        <f t="shared" si="4"/>
        <v/>
      </c>
      <c r="M44" s="38" t="str">
        <f t="shared" si="4"/>
        <v/>
      </c>
      <c r="N44" s="38" t="str">
        <f t="shared" si="4"/>
        <v/>
      </c>
      <c r="O44" s="38" t="str">
        <f t="shared" si="4"/>
        <v/>
      </c>
      <c r="P44" s="38" t="str">
        <f t="shared" si="4"/>
        <v/>
      </c>
      <c r="Q44" s="38" t="str">
        <f t="shared" si="4"/>
        <v/>
      </c>
      <c r="R44" s="38" t="str">
        <f t="shared" si="4"/>
        <v/>
      </c>
      <c r="S44" s="38" t="str">
        <f t="shared" si="4"/>
        <v/>
      </c>
      <c r="T44" s="101" t="str">
        <f t="shared" si="4"/>
        <v/>
      </c>
    </row>
    <row r="45" spans="1:20" ht="16.5" x14ac:dyDescent="0.3">
      <c r="A45"/>
      <c r="B45" s="93"/>
      <c r="C45"/>
      <c r="D45"/>
      <c r="E45" s="94"/>
      <c r="I45" s="100" t="str">
        <f t="shared" si="4"/>
        <v/>
      </c>
      <c r="J45" s="38" t="str">
        <f t="shared" si="4"/>
        <v/>
      </c>
      <c r="K45" s="38" t="str">
        <f t="shared" si="4"/>
        <v/>
      </c>
      <c r="L45" s="38" t="str">
        <f t="shared" si="4"/>
        <v/>
      </c>
      <c r="M45" s="38" t="str">
        <f t="shared" si="4"/>
        <v/>
      </c>
      <c r="N45" s="38" t="str">
        <f t="shared" si="4"/>
        <v/>
      </c>
      <c r="O45" s="38" t="str">
        <f t="shared" si="4"/>
        <v/>
      </c>
      <c r="P45" s="38" t="str">
        <f t="shared" si="4"/>
        <v/>
      </c>
      <c r="Q45" s="38" t="str">
        <f t="shared" si="4"/>
        <v/>
      </c>
      <c r="R45" s="38" t="str">
        <f t="shared" si="4"/>
        <v/>
      </c>
      <c r="S45" s="38" t="str">
        <f t="shared" si="4"/>
        <v/>
      </c>
      <c r="T45" s="101" t="str">
        <f t="shared" si="4"/>
        <v/>
      </c>
    </row>
    <row r="46" spans="1:20" ht="16.5" x14ac:dyDescent="0.3">
      <c r="A46"/>
      <c r="B46" s="93"/>
      <c r="C46"/>
      <c r="D46"/>
      <c r="E46" s="94"/>
      <c r="I46" s="100" t="str">
        <f t="shared" si="4"/>
        <v/>
      </c>
      <c r="J46" s="38" t="str">
        <f t="shared" si="4"/>
        <v/>
      </c>
      <c r="K46" s="38" t="str">
        <f t="shared" si="4"/>
        <v/>
      </c>
      <c r="L46" s="38" t="str">
        <f t="shared" si="4"/>
        <v/>
      </c>
      <c r="M46" s="38" t="str">
        <f t="shared" si="4"/>
        <v/>
      </c>
      <c r="N46" s="38" t="str">
        <f t="shared" si="4"/>
        <v/>
      </c>
      <c r="O46" s="38" t="str">
        <f t="shared" si="4"/>
        <v/>
      </c>
      <c r="P46" s="38" t="str">
        <f t="shared" si="4"/>
        <v/>
      </c>
      <c r="Q46" s="38" t="str">
        <f t="shared" si="4"/>
        <v/>
      </c>
      <c r="R46" s="38" t="str">
        <f t="shared" si="4"/>
        <v/>
      </c>
      <c r="S46" s="38" t="str">
        <f t="shared" si="4"/>
        <v/>
      </c>
      <c r="T46" s="101" t="str">
        <f t="shared" si="4"/>
        <v/>
      </c>
    </row>
    <row r="47" spans="1:20" ht="16.5" x14ac:dyDescent="0.3">
      <c r="A47"/>
      <c r="B47" s="93"/>
      <c r="C47"/>
      <c r="D47"/>
      <c r="E47" s="94"/>
      <c r="I47" s="100" t="str">
        <f t="shared" si="4"/>
        <v/>
      </c>
      <c r="J47" s="38" t="str">
        <f t="shared" si="4"/>
        <v/>
      </c>
      <c r="K47" s="38" t="str">
        <f t="shared" si="4"/>
        <v/>
      </c>
      <c r="L47" s="38" t="str">
        <f t="shared" si="4"/>
        <v/>
      </c>
      <c r="M47" s="38" t="str">
        <f t="shared" si="4"/>
        <v/>
      </c>
      <c r="N47" s="38" t="str">
        <f t="shared" si="4"/>
        <v/>
      </c>
      <c r="O47" s="38" t="str">
        <f t="shared" si="4"/>
        <v/>
      </c>
      <c r="P47" s="38" t="str">
        <f t="shared" si="4"/>
        <v/>
      </c>
      <c r="Q47" s="38" t="str">
        <f t="shared" si="4"/>
        <v/>
      </c>
      <c r="R47" s="38" t="str">
        <f t="shared" si="4"/>
        <v/>
      </c>
      <c r="S47" s="38" t="str">
        <f t="shared" si="4"/>
        <v/>
      </c>
      <c r="T47" s="101" t="str">
        <f t="shared" si="4"/>
        <v/>
      </c>
    </row>
    <row r="48" spans="1:20" ht="16.5" x14ac:dyDescent="0.3">
      <c r="A48"/>
      <c r="B48" s="93"/>
      <c r="C48"/>
      <c r="D48"/>
      <c r="E48" s="94"/>
      <c r="I48" s="100" t="str">
        <f t="shared" si="4"/>
        <v/>
      </c>
      <c r="J48" s="38" t="str">
        <f t="shared" si="4"/>
        <v/>
      </c>
      <c r="K48" s="38" t="str">
        <f t="shared" si="4"/>
        <v/>
      </c>
      <c r="L48" s="38" t="str">
        <f t="shared" si="4"/>
        <v/>
      </c>
      <c r="M48" s="38" t="str">
        <f t="shared" si="4"/>
        <v/>
      </c>
      <c r="N48" s="38" t="str">
        <f t="shared" si="4"/>
        <v/>
      </c>
      <c r="O48" s="38" t="str">
        <f t="shared" si="4"/>
        <v/>
      </c>
      <c r="P48" s="38" t="str">
        <f t="shared" si="4"/>
        <v/>
      </c>
      <c r="Q48" s="38" t="str">
        <f t="shared" si="4"/>
        <v/>
      </c>
      <c r="R48" s="38" t="str">
        <f t="shared" si="4"/>
        <v/>
      </c>
      <c r="S48" s="38" t="str">
        <f t="shared" si="4"/>
        <v/>
      </c>
      <c r="T48" s="101" t="str">
        <f t="shared" si="4"/>
        <v/>
      </c>
    </row>
    <row r="49" spans="1:20" ht="16.5" x14ac:dyDescent="0.3">
      <c r="A49"/>
      <c r="B49" s="93"/>
      <c r="C49"/>
      <c r="D49"/>
      <c r="E49" s="94"/>
      <c r="I49" s="100" t="str">
        <f t="shared" si="4"/>
        <v/>
      </c>
      <c r="J49" s="38" t="str">
        <f t="shared" si="4"/>
        <v/>
      </c>
      <c r="K49" s="38" t="str">
        <f t="shared" si="4"/>
        <v/>
      </c>
      <c r="L49" s="38" t="str">
        <f t="shared" si="4"/>
        <v/>
      </c>
      <c r="M49" s="38" t="str">
        <f t="shared" si="4"/>
        <v/>
      </c>
      <c r="N49" s="38" t="str">
        <f t="shared" si="4"/>
        <v/>
      </c>
      <c r="O49" s="38" t="str">
        <f t="shared" si="4"/>
        <v/>
      </c>
      <c r="P49" s="38" t="str">
        <f t="shared" si="4"/>
        <v/>
      </c>
      <c r="Q49" s="38" t="str">
        <f t="shared" si="4"/>
        <v/>
      </c>
      <c r="R49" s="38" t="str">
        <f t="shared" si="4"/>
        <v/>
      </c>
      <c r="S49" s="38" t="str">
        <f t="shared" si="4"/>
        <v/>
      </c>
      <c r="T49" s="101" t="str">
        <f t="shared" si="4"/>
        <v/>
      </c>
    </row>
    <row r="50" spans="1:20" ht="16.5" x14ac:dyDescent="0.3">
      <c r="A50"/>
      <c r="B50" s="93"/>
      <c r="C50"/>
      <c r="D50"/>
      <c r="E50" s="94"/>
      <c r="I50" s="100" t="str">
        <f t="shared" si="4"/>
        <v/>
      </c>
      <c r="J50" s="38" t="str">
        <f t="shared" si="4"/>
        <v/>
      </c>
      <c r="K50" s="38" t="str">
        <f t="shared" si="4"/>
        <v/>
      </c>
      <c r="L50" s="38" t="str">
        <f t="shared" si="4"/>
        <v/>
      </c>
      <c r="M50" s="38" t="str">
        <f t="shared" si="4"/>
        <v/>
      </c>
      <c r="N50" s="38" t="str">
        <f t="shared" si="4"/>
        <v/>
      </c>
      <c r="O50" s="38" t="str">
        <f t="shared" si="4"/>
        <v/>
      </c>
      <c r="P50" s="38" t="str">
        <f t="shared" si="4"/>
        <v/>
      </c>
      <c r="Q50" s="38" t="str">
        <f t="shared" si="4"/>
        <v/>
      </c>
      <c r="R50" s="38" t="str">
        <f t="shared" si="4"/>
        <v/>
      </c>
      <c r="S50" s="38" t="str">
        <f t="shared" si="4"/>
        <v/>
      </c>
      <c r="T50" s="101" t="str">
        <f t="shared" si="4"/>
        <v/>
      </c>
    </row>
    <row r="51" spans="1:20" ht="16.5" x14ac:dyDescent="0.3">
      <c r="A51"/>
      <c r="B51" s="93"/>
      <c r="C51"/>
      <c r="D51"/>
      <c r="E51" s="94"/>
      <c r="I51" s="100" t="str">
        <f t="shared" si="4"/>
        <v/>
      </c>
      <c r="J51" s="38" t="str">
        <f t="shared" si="4"/>
        <v/>
      </c>
      <c r="K51" s="38" t="str">
        <f t="shared" si="4"/>
        <v/>
      </c>
      <c r="L51" s="38" t="str">
        <f t="shared" si="4"/>
        <v/>
      </c>
      <c r="M51" s="38" t="str">
        <f t="shared" si="4"/>
        <v/>
      </c>
      <c r="N51" s="38" t="str">
        <f t="shared" si="4"/>
        <v/>
      </c>
      <c r="O51" s="38" t="str">
        <f t="shared" si="4"/>
        <v/>
      </c>
      <c r="P51" s="38" t="str">
        <f t="shared" si="4"/>
        <v/>
      </c>
      <c r="Q51" s="38" t="str">
        <f t="shared" si="4"/>
        <v/>
      </c>
      <c r="R51" s="38" t="str">
        <f t="shared" si="4"/>
        <v/>
      </c>
      <c r="S51" s="38" t="str">
        <f t="shared" si="4"/>
        <v/>
      </c>
      <c r="T51" s="101" t="str">
        <f t="shared" si="4"/>
        <v/>
      </c>
    </row>
    <row r="52" spans="1:20" ht="16.5" x14ac:dyDescent="0.3">
      <c r="A52"/>
      <c r="B52" s="93"/>
      <c r="C52"/>
      <c r="D52"/>
      <c r="E52" s="94"/>
      <c r="I52" s="100" t="str">
        <f t="shared" si="4"/>
        <v/>
      </c>
      <c r="J52" s="38" t="str">
        <f t="shared" si="4"/>
        <v/>
      </c>
      <c r="K52" s="38" t="str">
        <f t="shared" si="4"/>
        <v/>
      </c>
      <c r="L52" s="38" t="str">
        <f t="shared" si="4"/>
        <v/>
      </c>
      <c r="M52" s="38" t="str">
        <f t="shared" si="4"/>
        <v/>
      </c>
      <c r="N52" s="38" t="str">
        <f t="shared" si="4"/>
        <v/>
      </c>
      <c r="O52" s="38" t="str">
        <f t="shared" si="4"/>
        <v/>
      </c>
      <c r="P52" s="38" t="str">
        <f t="shared" si="4"/>
        <v/>
      </c>
      <c r="Q52" s="38" t="str">
        <f t="shared" si="4"/>
        <v/>
      </c>
      <c r="R52" s="38" t="str">
        <f t="shared" si="4"/>
        <v/>
      </c>
      <c r="S52" s="38" t="str">
        <f t="shared" si="4"/>
        <v/>
      </c>
      <c r="T52" s="101" t="str">
        <f t="shared" si="4"/>
        <v/>
      </c>
    </row>
    <row r="53" spans="1:20" ht="16.5" x14ac:dyDescent="0.3">
      <c r="A53"/>
      <c r="B53" s="93"/>
      <c r="C53"/>
      <c r="D53"/>
      <c r="E53" s="94"/>
      <c r="I53" s="100" t="str">
        <f t="shared" si="4"/>
        <v/>
      </c>
      <c r="J53" s="38" t="str">
        <f t="shared" si="4"/>
        <v/>
      </c>
      <c r="K53" s="38" t="str">
        <f t="shared" si="4"/>
        <v/>
      </c>
      <c r="L53" s="38" t="str">
        <f t="shared" si="4"/>
        <v/>
      </c>
      <c r="M53" s="38" t="str">
        <f t="shared" si="4"/>
        <v/>
      </c>
      <c r="N53" s="38" t="str">
        <f t="shared" si="4"/>
        <v/>
      </c>
      <c r="O53" s="38" t="str">
        <f t="shared" si="4"/>
        <v/>
      </c>
      <c r="P53" s="38" t="str">
        <f t="shared" si="4"/>
        <v/>
      </c>
      <c r="Q53" s="38" t="str">
        <f t="shared" si="4"/>
        <v/>
      </c>
      <c r="R53" s="38" t="str">
        <f t="shared" si="4"/>
        <v/>
      </c>
      <c r="S53" s="38" t="str">
        <f t="shared" si="4"/>
        <v/>
      </c>
      <c r="T53" s="101" t="str">
        <f t="shared" si="4"/>
        <v/>
      </c>
    </row>
    <row r="54" spans="1:20" ht="16.5" x14ac:dyDescent="0.3">
      <c r="A54"/>
      <c r="B54" s="93"/>
      <c r="C54"/>
      <c r="D54"/>
      <c r="E54" s="94"/>
      <c r="I54" s="100" t="str">
        <f t="shared" si="4"/>
        <v/>
      </c>
      <c r="J54" s="38" t="str">
        <f t="shared" si="4"/>
        <v/>
      </c>
      <c r="K54" s="38" t="str">
        <f t="shared" si="4"/>
        <v/>
      </c>
      <c r="L54" s="38" t="str">
        <f t="shared" si="4"/>
        <v/>
      </c>
      <c r="M54" s="38" t="str">
        <f t="shared" si="4"/>
        <v/>
      </c>
      <c r="N54" s="38" t="str">
        <f t="shared" si="4"/>
        <v/>
      </c>
      <c r="O54" s="38" t="str">
        <f t="shared" si="4"/>
        <v/>
      </c>
      <c r="P54" s="38" t="str">
        <f t="shared" si="4"/>
        <v/>
      </c>
      <c r="Q54" s="38" t="str">
        <f t="shared" si="4"/>
        <v/>
      </c>
      <c r="R54" s="38" t="str">
        <f t="shared" si="4"/>
        <v/>
      </c>
      <c r="S54" s="38" t="str">
        <f t="shared" si="4"/>
        <v/>
      </c>
      <c r="T54" s="101" t="str">
        <f t="shared" si="4"/>
        <v/>
      </c>
    </row>
    <row r="55" spans="1:20" ht="16.5" x14ac:dyDescent="0.3">
      <c r="A55"/>
      <c r="B55" s="93"/>
      <c r="C55"/>
      <c r="D55"/>
      <c r="E55" s="94"/>
      <c r="I55" s="100" t="str">
        <f t="shared" si="4"/>
        <v/>
      </c>
      <c r="J55" s="38" t="str">
        <f t="shared" si="4"/>
        <v/>
      </c>
      <c r="K55" s="38" t="str">
        <f t="shared" si="4"/>
        <v/>
      </c>
      <c r="L55" s="38" t="str">
        <f t="shared" si="4"/>
        <v/>
      </c>
      <c r="M55" s="38" t="str">
        <f t="shared" si="4"/>
        <v/>
      </c>
      <c r="N55" s="38" t="str">
        <f t="shared" si="4"/>
        <v/>
      </c>
      <c r="O55" s="38" t="str">
        <f t="shared" si="4"/>
        <v/>
      </c>
      <c r="P55" s="38" t="str">
        <f t="shared" si="4"/>
        <v/>
      </c>
      <c r="Q55" s="38" t="str">
        <f t="shared" si="4"/>
        <v/>
      </c>
      <c r="R55" s="38" t="str">
        <f t="shared" si="4"/>
        <v/>
      </c>
      <c r="S55" s="38" t="str">
        <f t="shared" si="4"/>
        <v/>
      </c>
      <c r="T55" s="101" t="str">
        <f t="shared" si="4"/>
        <v/>
      </c>
    </row>
    <row r="56" spans="1:20" ht="16.5" x14ac:dyDescent="0.3">
      <c r="A56"/>
      <c r="B56" s="93"/>
      <c r="C56"/>
      <c r="D56"/>
      <c r="E56" s="94"/>
      <c r="I56" s="100" t="str">
        <f t="shared" si="4"/>
        <v/>
      </c>
      <c r="J56" s="38" t="str">
        <f t="shared" si="4"/>
        <v/>
      </c>
      <c r="K56" s="38" t="str">
        <f t="shared" si="4"/>
        <v/>
      </c>
      <c r="L56" s="38" t="str">
        <f t="shared" si="4"/>
        <v/>
      </c>
      <c r="M56" s="38" t="str">
        <f t="shared" si="4"/>
        <v/>
      </c>
      <c r="N56" s="38" t="str">
        <f t="shared" si="4"/>
        <v/>
      </c>
      <c r="O56" s="38" t="str">
        <f t="shared" si="4"/>
        <v/>
      </c>
      <c r="P56" s="38" t="str">
        <f t="shared" si="4"/>
        <v/>
      </c>
      <c r="Q56" s="38" t="str">
        <f t="shared" si="4"/>
        <v/>
      </c>
      <c r="R56" s="38" t="str">
        <f t="shared" si="4"/>
        <v/>
      </c>
      <c r="S56" s="38" t="str">
        <f t="shared" si="4"/>
        <v/>
      </c>
      <c r="T56" s="101" t="str">
        <f t="shared" si="4"/>
        <v/>
      </c>
    </row>
    <row r="57" spans="1:20" ht="16.5" x14ac:dyDescent="0.3">
      <c r="A57"/>
      <c r="B57" s="93"/>
      <c r="C57"/>
      <c r="D57"/>
      <c r="E57" s="94"/>
      <c r="I57" s="100" t="str">
        <f t="shared" si="4"/>
        <v/>
      </c>
      <c r="J57" s="38" t="str">
        <f t="shared" si="4"/>
        <v/>
      </c>
      <c r="K57" s="38" t="str">
        <f t="shared" si="4"/>
        <v/>
      </c>
      <c r="L57" s="38" t="str">
        <f t="shared" si="4"/>
        <v/>
      </c>
      <c r="M57" s="38" t="str">
        <f t="shared" si="4"/>
        <v/>
      </c>
      <c r="N57" s="38" t="str">
        <f t="shared" si="4"/>
        <v/>
      </c>
      <c r="O57" s="38" t="str">
        <f t="shared" si="4"/>
        <v/>
      </c>
      <c r="P57" s="38" t="str">
        <f t="shared" si="4"/>
        <v/>
      </c>
      <c r="Q57" s="38" t="str">
        <f t="shared" si="4"/>
        <v/>
      </c>
      <c r="R57" s="38" t="str">
        <f t="shared" si="4"/>
        <v/>
      </c>
      <c r="S57" s="38" t="str">
        <f t="shared" si="4"/>
        <v/>
      </c>
      <c r="T57" s="101" t="str">
        <f t="shared" si="4"/>
        <v/>
      </c>
    </row>
    <row r="58" spans="1:20" ht="16.5" x14ac:dyDescent="0.3">
      <c r="A58"/>
      <c r="B58" s="93"/>
      <c r="C58"/>
      <c r="D58"/>
      <c r="E58" s="94"/>
      <c r="I58" s="100" t="str">
        <f t="shared" si="4"/>
        <v/>
      </c>
      <c r="J58" s="38" t="str">
        <f t="shared" si="4"/>
        <v/>
      </c>
      <c r="K58" s="38" t="str">
        <f t="shared" si="4"/>
        <v/>
      </c>
      <c r="L58" s="38" t="str">
        <f t="shared" si="4"/>
        <v/>
      </c>
      <c r="M58" s="38" t="str">
        <f t="shared" si="4"/>
        <v/>
      </c>
      <c r="N58" s="38" t="str">
        <f t="shared" si="4"/>
        <v/>
      </c>
      <c r="O58" s="38" t="str">
        <f t="shared" si="4"/>
        <v/>
      </c>
      <c r="P58" s="38" t="str">
        <f t="shared" si="4"/>
        <v/>
      </c>
      <c r="Q58" s="38" t="str">
        <f t="shared" si="4"/>
        <v/>
      </c>
      <c r="R58" s="38" t="str">
        <f t="shared" si="4"/>
        <v/>
      </c>
      <c r="S58" s="38" t="str">
        <f t="shared" si="4"/>
        <v/>
      </c>
      <c r="T58" s="101" t="str">
        <f t="shared" si="4"/>
        <v/>
      </c>
    </row>
    <row r="59" spans="1:20" ht="16.5" x14ac:dyDescent="0.3">
      <c r="A59"/>
      <c r="B59" s="93"/>
      <c r="C59"/>
      <c r="D59"/>
      <c r="E59" s="94"/>
      <c r="I59" s="100" t="str">
        <f t="shared" si="4"/>
        <v/>
      </c>
      <c r="J59" s="38" t="str">
        <f t="shared" si="4"/>
        <v/>
      </c>
      <c r="K59" s="38" t="str">
        <f t="shared" si="4"/>
        <v/>
      </c>
      <c r="L59" s="38" t="str">
        <f t="shared" si="4"/>
        <v/>
      </c>
      <c r="M59" s="38" t="str">
        <f t="shared" si="4"/>
        <v/>
      </c>
      <c r="N59" s="38" t="str">
        <f t="shared" si="4"/>
        <v/>
      </c>
      <c r="O59" s="38" t="str">
        <f t="shared" si="4"/>
        <v/>
      </c>
      <c r="P59" s="38" t="str">
        <f t="shared" si="4"/>
        <v/>
      </c>
      <c r="Q59" s="38" t="str">
        <f t="shared" si="4"/>
        <v/>
      </c>
      <c r="R59" s="38" t="str">
        <f t="shared" si="4"/>
        <v/>
      </c>
      <c r="S59" s="38" t="str">
        <f t="shared" si="4"/>
        <v/>
      </c>
      <c r="T59" s="101" t="str">
        <f t="shared" si="4"/>
        <v/>
      </c>
    </row>
    <row r="60" spans="1:20" ht="16.5" x14ac:dyDescent="0.3">
      <c r="A60"/>
      <c r="B60" s="93"/>
      <c r="C60"/>
      <c r="D60"/>
      <c r="E60" s="94"/>
      <c r="I60" s="100" t="str">
        <f t="shared" si="4"/>
        <v/>
      </c>
      <c r="J60" s="38" t="str">
        <f t="shared" si="4"/>
        <v/>
      </c>
      <c r="K60" s="38" t="str">
        <f t="shared" si="4"/>
        <v/>
      </c>
      <c r="L60" s="38" t="str">
        <f t="shared" si="4"/>
        <v/>
      </c>
      <c r="M60" s="38" t="str">
        <f t="shared" si="4"/>
        <v/>
      </c>
      <c r="N60" s="38" t="str">
        <f t="shared" si="4"/>
        <v/>
      </c>
      <c r="O60" s="38" t="str">
        <f t="shared" si="4"/>
        <v/>
      </c>
      <c r="P60" s="38" t="str">
        <f t="shared" si="4"/>
        <v/>
      </c>
      <c r="Q60" s="38" t="str">
        <f t="shared" si="4"/>
        <v/>
      </c>
      <c r="R60" s="38" t="str">
        <f t="shared" si="4"/>
        <v/>
      </c>
      <c r="S60" s="38" t="str">
        <f t="shared" si="4"/>
        <v/>
      </c>
      <c r="T60" s="101" t="str">
        <f t="shared" si="4"/>
        <v/>
      </c>
    </row>
    <row r="61" spans="1:20" ht="16.5" x14ac:dyDescent="0.3">
      <c r="A61"/>
      <c r="B61" s="93"/>
      <c r="C61"/>
      <c r="D61"/>
      <c r="E61" s="94"/>
      <c r="I61" s="100" t="str">
        <f t="shared" si="4"/>
        <v/>
      </c>
      <c r="J61" s="38" t="str">
        <f t="shared" si="4"/>
        <v/>
      </c>
      <c r="K61" s="38" t="str">
        <f t="shared" si="4"/>
        <v/>
      </c>
      <c r="L61" s="38" t="str">
        <f t="shared" si="4"/>
        <v/>
      </c>
      <c r="M61" s="38" t="str">
        <f t="shared" si="4"/>
        <v/>
      </c>
      <c r="N61" s="38" t="str">
        <f t="shared" si="4"/>
        <v/>
      </c>
      <c r="O61" s="38" t="str">
        <f t="shared" si="4"/>
        <v/>
      </c>
      <c r="P61" s="38" t="str">
        <f t="shared" si="4"/>
        <v/>
      </c>
      <c r="Q61" s="38" t="str">
        <f t="shared" si="4"/>
        <v/>
      </c>
      <c r="R61" s="38" t="str">
        <f t="shared" si="4"/>
        <v/>
      </c>
      <c r="S61" s="38" t="str">
        <f t="shared" si="4"/>
        <v/>
      </c>
      <c r="T61" s="101" t="str">
        <f t="shared" si="4"/>
        <v/>
      </c>
    </row>
    <row r="62" spans="1:20" ht="16.5" x14ac:dyDescent="0.3">
      <c r="A62"/>
      <c r="B62" s="93"/>
      <c r="C62"/>
      <c r="D62"/>
      <c r="E62" s="94"/>
      <c r="I62" s="100" t="str">
        <f t="shared" si="4"/>
        <v/>
      </c>
      <c r="J62" s="38" t="str">
        <f t="shared" si="4"/>
        <v/>
      </c>
      <c r="K62" s="38" t="str">
        <f t="shared" si="4"/>
        <v/>
      </c>
      <c r="L62" s="38" t="str">
        <f t="shared" si="4"/>
        <v/>
      </c>
      <c r="M62" s="38" t="str">
        <f t="shared" si="4"/>
        <v/>
      </c>
      <c r="N62" s="38" t="str">
        <f t="shared" si="4"/>
        <v/>
      </c>
      <c r="O62" s="38" t="str">
        <f t="shared" si="4"/>
        <v/>
      </c>
      <c r="P62" s="38" t="str">
        <f t="shared" si="4"/>
        <v/>
      </c>
      <c r="Q62" s="38" t="str">
        <f t="shared" si="4"/>
        <v/>
      </c>
      <c r="R62" s="38" t="str">
        <f t="shared" si="4"/>
        <v/>
      </c>
      <c r="S62" s="38" t="str">
        <f t="shared" si="4"/>
        <v/>
      </c>
      <c r="T62" s="101" t="str">
        <f t="shared" si="4"/>
        <v/>
      </c>
    </row>
    <row r="63" spans="1:20" ht="16.5" x14ac:dyDescent="0.3">
      <c r="A63"/>
      <c r="B63" s="93"/>
      <c r="C63"/>
      <c r="D63"/>
      <c r="E63" s="94"/>
      <c r="I63" s="100" t="str">
        <f t="shared" si="4"/>
        <v/>
      </c>
      <c r="J63" s="38" t="str">
        <f t="shared" si="4"/>
        <v/>
      </c>
      <c r="K63" s="38" t="str">
        <f t="shared" si="4"/>
        <v/>
      </c>
      <c r="L63" s="38" t="str">
        <f t="shared" ref="J63:T86" si="5">IF(OR(L$8="", $E63=""), "", IF(L$8&lt;$E63, IF($C63=0, "", $C63), $D63))</f>
        <v/>
      </c>
      <c r="M63" s="38" t="str">
        <f t="shared" si="5"/>
        <v/>
      </c>
      <c r="N63" s="38" t="str">
        <f t="shared" si="5"/>
        <v/>
      </c>
      <c r="O63" s="38" t="str">
        <f t="shared" si="5"/>
        <v/>
      </c>
      <c r="P63" s="38" t="str">
        <f t="shared" si="5"/>
        <v/>
      </c>
      <c r="Q63" s="38" t="str">
        <f t="shared" si="5"/>
        <v/>
      </c>
      <c r="R63" s="38" t="str">
        <f t="shared" si="5"/>
        <v/>
      </c>
      <c r="S63" s="38" t="str">
        <f t="shared" si="5"/>
        <v/>
      </c>
      <c r="T63" s="101" t="str">
        <f t="shared" si="5"/>
        <v/>
      </c>
    </row>
    <row r="64" spans="1:20" ht="16.5" x14ac:dyDescent="0.3">
      <c r="A64"/>
      <c r="B64" s="93"/>
      <c r="C64"/>
      <c r="D64"/>
      <c r="E64" s="94"/>
      <c r="I64" s="100" t="str">
        <f t="shared" ref="I64:I108" si="6">IF(OR(I$8="", $E64=""), "", IF(I$8&lt;$E64, IF($C64=0, "", $C64), $D64))</f>
        <v/>
      </c>
      <c r="J64" s="38" t="str">
        <f t="shared" si="5"/>
        <v/>
      </c>
      <c r="K64" s="38" t="str">
        <f t="shared" si="5"/>
        <v/>
      </c>
      <c r="L64" s="38" t="str">
        <f t="shared" si="5"/>
        <v/>
      </c>
      <c r="M64" s="38" t="str">
        <f t="shared" si="5"/>
        <v/>
      </c>
      <c r="N64" s="38" t="str">
        <f t="shared" si="5"/>
        <v/>
      </c>
      <c r="O64" s="38" t="str">
        <f t="shared" si="5"/>
        <v/>
      </c>
      <c r="P64" s="38" t="str">
        <f t="shared" si="5"/>
        <v/>
      </c>
      <c r="Q64" s="38" t="str">
        <f t="shared" si="5"/>
        <v/>
      </c>
      <c r="R64" s="38" t="str">
        <f t="shared" si="5"/>
        <v/>
      </c>
      <c r="S64" s="38" t="str">
        <f t="shared" si="5"/>
        <v/>
      </c>
      <c r="T64" s="101" t="str">
        <f t="shared" si="5"/>
        <v/>
      </c>
    </row>
    <row r="65" spans="1:20" ht="16.5" x14ac:dyDescent="0.3">
      <c r="A65"/>
      <c r="B65" s="93"/>
      <c r="C65"/>
      <c r="D65"/>
      <c r="E65" s="94"/>
      <c r="I65" s="100" t="str">
        <f t="shared" si="6"/>
        <v/>
      </c>
      <c r="J65" s="38" t="str">
        <f t="shared" si="5"/>
        <v/>
      </c>
      <c r="K65" s="38" t="str">
        <f t="shared" si="5"/>
        <v/>
      </c>
      <c r="L65" s="38" t="str">
        <f t="shared" si="5"/>
        <v/>
      </c>
      <c r="M65" s="38" t="str">
        <f t="shared" si="5"/>
        <v/>
      </c>
      <c r="N65" s="38" t="str">
        <f t="shared" si="5"/>
        <v/>
      </c>
      <c r="O65" s="38" t="str">
        <f t="shared" si="5"/>
        <v/>
      </c>
      <c r="P65" s="38" t="str">
        <f t="shared" si="5"/>
        <v/>
      </c>
      <c r="Q65" s="38" t="str">
        <f t="shared" si="5"/>
        <v/>
      </c>
      <c r="R65" s="38" t="str">
        <f t="shared" si="5"/>
        <v/>
      </c>
      <c r="S65" s="38" t="str">
        <f t="shared" si="5"/>
        <v/>
      </c>
      <c r="T65" s="101" t="str">
        <f t="shared" si="5"/>
        <v/>
      </c>
    </row>
    <row r="66" spans="1:20" ht="16.5" x14ac:dyDescent="0.3">
      <c r="A66"/>
      <c r="B66" s="93"/>
      <c r="C66"/>
      <c r="D66"/>
      <c r="E66" s="94"/>
      <c r="I66" s="100" t="str">
        <f t="shared" si="6"/>
        <v/>
      </c>
      <c r="J66" s="38" t="str">
        <f t="shared" si="5"/>
        <v/>
      </c>
      <c r="K66" s="38" t="str">
        <f t="shared" si="5"/>
        <v/>
      </c>
      <c r="L66" s="38" t="str">
        <f t="shared" si="5"/>
        <v/>
      </c>
      <c r="M66" s="38" t="str">
        <f t="shared" si="5"/>
        <v/>
      </c>
      <c r="N66" s="38" t="str">
        <f t="shared" si="5"/>
        <v/>
      </c>
      <c r="O66" s="38" t="str">
        <f t="shared" si="5"/>
        <v/>
      </c>
      <c r="P66" s="38" t="str">
        <f t="shared" si="5"/>
        <v/>
      </c>
      <c r="Q66" s="38" t="str">
        <f t="shared" si="5"/>
        <v/>
      </c>
      <c r="R66" s="38" t="str">
        <f t="shared" si="5"/>
        <v/>
      </c>
      <c r="S66" s="38" t="str">
        <f t="shared" si="5"/>
        <v/>
      </c>
      <c r="T66" s="101" t="str">
        <f t="shared" si="5"/>
        <v/>
      </c>
    </row>
    <row r="67" spans="1:20" ht="16.5" x14ac:dyDescent="0.3">
      <c r="A67"/>
      <c r="B67" s="93"/>
      <c r="C67"/>
      <c r="D67"/>
      <c r="E67" s="94"/>
      <c r="I67" s="100" t="str">
        <f t="shared" si="6"/>
        <v/>
      </c>
      <c r="J67" s="38" t="str">
        <f t="shared" si="5"/>
        <v/>
      </c>
      <c r="K67" s="38" t="str">
        <f t="shared" si="5"/>
        <v/>
      </c>
      <c r="L67" s="38" t="str">
        <f t="shared" si="5"/>
        <v/>
      </c>
      <c r="M67" s="38" t="str">
        <f t="shared" si="5"/>
        <v/>
      </c>
      <c r="N67" s="38" t="str">
        <f t="shared" si="5"/>
        <v/>
      </c>
      <c r="O67" s="38" t="str">
        <f t="shared" si="5"/>
        <v/>
      </c>
      <c r="P67" s="38" t="str">
        <f t="shared" si="5"/>
        <v/>
      </c>
      <c r="Q67" s="38" t="str">
        <f t="shared" si="5"/>
        <v/>
      </c>
      <c r="R67" s="38" t="str">
        <f t="shared" si="5"/>
        <v/>
      </c>
      <c r="S67" s="38" t="str">
        <f t="shared" si="5"/>
        <v/>
      </c>
      <c r="T67" s="101" t="str">
        <f t="shared" si="5"/>
        <v/>
      </c>
    </row>
    <row r="68" spans="1:20" ht="16.5" x14ac:dyDescent="0.3">
      <c r="A68"/>
      <c r="B68" s="93"/>
      <c r="C68"/>
      <c r="D68"/>
      <c r="E68" s="94"/>
      <c r="I68" s="100" t="str">
        <f t="shared" si="6"/>
        <v/>
      </c>
      <c r="J68" s="38" t="str">
        <f t="shared" si="5"/>
        <v/>
      </c>
      <c r="K68" s="38" t="str">
        <f t="shared" si="5"/>
        <v/>
      </c>
      <c r="L68" s="38" t="str">
        <f t="shared" si="5"/>
        <v/>
      </c>
      <c r="M68" s="38" t="str">
        <f t="shared" si="5"/>
        <v/>
      </c>
      <c r="N68" s="38" t="str">
        <f t="shared" si="5"/>
        <v/>
      </c>
      <c r="O68" s="38" t="str">
        <f t="shared" si="5"/>
        <v/>
      </c>
      <c r="P68" s="38" t="str">
        <f t="shared" si="5"/>
        <v/>
      </c>
      <c r="Q68" s="38" t="str">
        <f t="shared" si="5"/>
        <v/>
      </c>
      <c r="R68" s="38" t="str">
        <f t="shared" si="5"/>
        <v/>
      </c>
      <c r="S68" s="38" t="str">
        <f t="shared" si="5"/>
        <v/>
      </c>
      <c r="T68" s="101" t="str">
        <f t="shared" si="5"/>
        <v/>
      </c>
    </row>
    <row r="69" spans="1:20" ht="16.5" x14ac:dyDescent="0.3">
      <c r="A69"/>
      <c r="B69" s="93"/>
      <c r="C69"/>
      <c r="D69"/>
      <c r="E69" s="94"/>
      <c r="I69" s="100" t="str">
        <f t="shared" si="6"/>
        <v/>
      </c>
      <c r="J69" s="38" t="str">
        <f t="shared" si="5"/>
        <v/>
      </c>
      <c r="K69" s="38" t="str">
        <f t="shared" si="5"/>
        <v/>
      </c>
      <c r="L69" s="38" t="str">
        <f t="shared" si="5"/>
        <v/>
      </c>
      <c r="M69" s="38" t="str">
        <f t="shared" si="5"/>
        <v/>
      </c>
      <c r="N69" s="38" t="str">
        <f t="shared" si="5"/>
        <v/>
      </c>
      <c r="O69" s="38" t="str">
        <f t="shared" si="5"/>
        <v/>
      </c>
      <c r="P69" s="38" t="str">
        <f t="shared" si="5"/>
        <v/>
      </c>
      <c r="Q69" s="38" t="str">
        <f t="shared" si="5"/>
        <v/>
      </c>
      <c r="R69" s="38" t="str">
        <f t="shared" si="5"/>
        <v/>
      </c>
      <c r="S69" s="38" t="str">
        <f t="shared" si="5"/>
        <v/>
      </c>
      <c r="T69" s="101" t="str">
        <f t="shared" si="5"/>
        <v/>
      </c>
    </row>
    <row r="70" spans="1:20" ht="16.5" x14ac:dyDescent="0.3">
      <c r="A70"/>
      <c r="B70" s="93"/>
      <c r="C70"/>
      <c r="D70"/>
      <c r="E70" s="94"/>
      <c r="I70" s="100" t="str">
        <f t="shared" si="6"/>
        <v/>
      </c>
      <c r="J70" s="38" t="str">
        <f t="shared" si="5"/>
        <v/>
      </c>
      <c r="K70" s="38" t="str">
        <f t="shared" si="5"/>
        <v/>
      </c>
      <c r="L70" s="38" t="str">
        <f t="shared" si="5"/>
        <v/>
      </c>
      <c r="M70" s="38" t="str">
        <f t="shared" si="5"/>
        <v/>
      </c>
      <c r="N70" s="38" t="str">
        <f t="shared" si="5"/>
        <v/>
      </c>
      <c r="O70" s="38" t="str">
        <f t="shared" si="5"/>
        <v/>
      </c>
      <c r="P70" s="38" t="str">
        <f t="shared" si="5"/>
        <v/>
      </c>
      <c r="Q70" s="38" t="str">
        <f t="shared" si="5"/>
        <v/>
      </c>
      <c r="R70" s="38" t="str">
        <f t="shared" si="5"/>
        <v/>
      </c>
      <c r="S70" s="38" t="str">
        <f t="shared" si="5"/>
        <v/>
      </c>
      <c r="T70" s="101" t="str">
        <f t="shared" si="5"/>
        <v/>
      </c>
    </row>
    <row r="71" spans="1:20" ht="16.5" x14ac:dyDescent="0.3">
      <c r="A71"/>
      <c r="B71" s="93"/>
      <c r="C71"/>
      <c r="D71"/>
      <c r="E71" s="94"/>
      <c r="I71" s="100" t="str">
        <f t="shared" si="6"/>
        <v/>
      </c>
      <c r="J71" s="38" t="str">
        <f t="shared" si="5"/>
        <v/>
      </c>
      <c r="K71" s="38" t="str">
        <f t="shared" si="5"/>
        <v/>
      </c>
      <c r="L71" s="38" t="str">
        <f t="shared" si="5"/>
        <v/>
      </c>
      <c r="M71" s="38" t="str">
        <f t="shared" si="5"/>
        <v/>
      </c>
      <c r="N71" s="38" t="str">
        <f t="shared" si="5"/>
        <v/>
      </c>
      <c r="O71" s="38" t="str">
        <f t="shared" si="5"/>
        <v/>
      </c>
      <c r="P71" s="38" t="str">
        <f t="shared" si="5"/>
        <v/>
      </c>
      <c r="Q71" s="38" t="str">
        <f t="shared" si="5"/>
        <v/>
      </c>
      <c r="R71" s="38" t="str">
        <f t="shared" si="5"/>
        <v/>
      </c>
      <c r="S71" s="38" t="str">
        <f t="shared" si="5"/>
        <v/>
      </c>
      <c r="T71" s="101" t="str">
        <f t="shared" si="5"/>
        <v/>
      </c>
    </row>
    <row r="72" spans="1:20" ht="16.5" x14ac:dyDescent="0.3">
      <c r="A72"/>
      <c r="B72" s="93"/>
      <c r="C72"/>
      <c r="D72"/>
      <c r="E72" s="94"/>
      <c r="I72" s="100" t="str">
        <f t="shared" si="6"/>
        <v/>
      </c>
      <c r="J72" s="38" t="str">
        <f t="shared" si="5"/>
        <v/>
      </c>
      <c r="K72" s="38" t="str">
        <f t="shared" si="5"/>
        <v/>
      </c>
      <c r="L72" s="38" t="str">
        <f t="shared" si="5"/>
        <v/>
      </c>
      <c r="M72" s="38" t="str">
        <f t="shared" si="5"/>
        <v/>
      </c>
      <c r="N72" s="38" t="str">
        <f t="shared" si="5"/>
        <v/>
      </c>
      <c r="O72" s="38" t="str">
        <f t="shared" si="5"/>
        <v/>
      </c>
      <c r="P72" s="38" t="str">
        <f t="shared" si="5"/>
        <v/>
      </c>
      <c r="Q72" s="38" t="str">
        <f t="shared" si="5"/>
        <v/>
      </c>
      <c r="R72" s="38" t="str">
        <f t="shared" si="5"/>
        <v/>
      </c>
      <c r="S72" s="38" t="str">
        <f t="shared" si="5"/>
        <v/>
      </c>
      <c r="T72" s="101" t="str">
        <f t="shared" si="5"/>
        <v/>
      </c>
    </row>
    <row r="73" spans="1:20" ht="16.5" x14ac:dyDescent="0.3">
      <c r="A73"/>
      <c r="B73" s="93"/>
      <c r="C73"/>
      <c r="D73"/>
      <c r="E73" s="94"/>
      <c r="I73" s="100" t="str">
        <f t="shared" si="6"/>
        <v/>
      </c>
      <c r="J73" s="38" t="str">
        <f t="shared" si="5"/>
        <v/>
      </c>
      <c r="K73" s="38" t="str">
        <f t="shared" si="5"/>
        <v/>
      </c>
      <c r="L73" s="38" t="str">
        <f t="shared" si="5"/>
        <v/>
      </c>
      <c r="M73" s="38" t="str">
        <f t="shared" si="5"/>
        <v/>
      </c>
      <c r="N73" s="38" t="str">
        <f t="shared" si="5"/>
        <v/>
      </c>
      <c r="O73" s="38" t="str">
        <f t="shared" si="5"/>
        <v/>
      </c>
      <c r="P73" s="38" t="str">
        <f t="shared" si="5"/>
        <v/>
      </c>
      <c r="Q73" s="38" t="str">
        <f t="shared" si="5"/>
        <v/>
      </c>
      <c r="R73" s="38" t="str">
        <f t="shared" si="5"/>
        <v/>
      </c>
      <c r="S73" s="38" t="str">
        <f t="shared" si="5"/>
        <v/>
      </c>
      <c r="T73" s="101" t="str">
        <f t="shared" si="5"/>
        <v/>
      </c>
    </row>
    <row r="74" spans="1:20" ht="16.5" x14ac:dyDescent="0.3">
      <c r="A74"/>
      <c r="B74" s="93"/>
      <c r="C74"/>
      <c r="D74"/>
      <c r="E74" s="94"/>
      <c r="I74" s="100" t="str">
        <f t="shared" si="6"/>
        <v/>
      </c>
      <c r="J74" s="38" t="str">
        <f t="shared" si="5"/>
        <v/>
      </c>
      <c r="K74" s="38" t="str">
        <f t="shared" si="5"/>
        <v/>
      </c>
      <c r="L74" s="38" t="str">
        <f t="shared" si="5"/>
        <v/>
      </c>
      <c r="M74" s="38" t="str">
        <f t="shared" si="5"/>
        <v/>
      </c>
      <c r="N74" s="38" t="str">
        <f t="shared" si="5"/>
        <v/>
      </c>
      <c r="O74" s="38" t="str">
        <f t="shared" si="5"/>
        <v/>
      </c>
      <c r="P74" s="38" t="str">
        <f t="shared" si="5"/>
        <v/>
      </c>
      <c r="Q74" s="38" t="str">
        <f t="shared" si="5"/>
        <v/>
      </c>
      <c r="R74" s="38" t="str">
        <f t="shared" si="5"/>
        <v/>
      </c>
      <c r="S74" s="38" t="str">
        <f t="shared" si="5"/>
        <v/>
      </c>
      <c r="T74" s="101" t="str">
        <f t="shared" si="5"/>
        <v/>
      </c>
    </row>
    <row r="75" spans="1:20" ht="16.5" x14ac:dyDescent="0.3">
      <c r="A75"/>
      <c r="B75" s="93"/>
      <c r="C75"/>
      <c r="D75"/>
      <c r="E75" s="94"/>
      <c r="I75" s="100" t="str">
        <f t="shared" si="6"/>
        <v/>
      </c>
      <c r="J75" s="38" t="str">
        <f t="shared" si="5"/>
        <v/>
      </c>
      <c r="K75" s="38" t="str">
        <f t="shared" si="5"/>
        <v/>
      </c>
      <c r="L75" s="38" t="str">
        <f t="shared" si="5"/>
        <v/>
      </c>
      <c r="M75" s="38" t="str">
        <f t="shared" si="5"/>
        <v/>
      </c>
      <c r="N75" s="38" t="str">
        <f t="shared" si="5"/>
        <v/>
      </c>
      <c r="O75" s="38" t="str">
        <f t="shared" si="5"/>
        <v/>
      </c>
      <c r="P75" s="38" t="str">
        <f t="shared" si="5"/>
        <v/>
      </c>
      <c r="Q75" s="38" t="str">
        <f t="shared" si="5"/>
        <v/>
      </c>
      <c r="R75" s="38" t="str">
        <f t="shared" si="5"/>
        <v/>
      </c>
      <c r="S75" s="38" t="str">
        <f t="shared" si="5"/>
        <v/>
      </c>
      <c r="T75" s="101" t="str">
        <f t="shared" si="5"/>
        <v/>
      </c>
    </row>
    <row r="76" spans="1:20" ht="16.5" x14ac:dyDescent="0.3">
      <c r="A76"/>
      <c r="B76" s="93"/>
      <c r="C76"/>
      <c r="D76"/>
      <c r="E76" s="94"/>
      <c r="I76" s="100" t="str">
        <f t="shared" si="6"/>
        <v/>
      </c>
      <c r="J76" s="38" t="str">
        <f t="shared" si="5"/>
        <v/>
      </c>
      <c r="K76" s="38" t="str">
        <f t="shared" si="5"/>
        <v/>
      </c>
      <c r="L76" s="38" t="str">
        <f t="shared" si="5"/>
        <v/>
      </c>
      <c r="M76" s="38" t="str">
        <f t="shared" si="5"/>
        <v/>
      </c>
      <c r="N76" s="38" t="str">
        <f t="shared" si="5"/>
        <v/>
      </c>
      <c r="O76" s="38" t="str">
        <f t="shared" si="5"/>
        <v/>
      </c>
      <c r="P76" s="38" t="str">
        <f t="shared" si="5"/>
        <v/>
      </c>
      <c r="Q76" s="38" t="str">
        <f t="shared" si="5"/>
        <v/>
      </c>
      <c r="R76" s="38" t="str">
        <f t="shared" si="5"/>
        <v/>
      </c>
      <c r="S76" s="38" t="str">
        <f t="shared" si="5"/>
        <v/>
      </c>
      <c r="T76" s="101" t="str">
        <f t="shared" si="5"/>
        <v/>
      </c>
    </row>
    <row r="77" spans="1:20" ht="16.5" x14ac:dyDescent="0.3">
      <c r="A77"/>
      <c r="B77" s="93"/>
      <c r="C77"/>
      <c r="D77"/>
      <c r="E77" s="94"/>
      <c r="I77" s="100" t="str">
        <f t="shared" si="6"/>
        <v/>
      </c>
      <c r="J77" s="38" t="str">
        <f t="shared" si="5"/>
        <v/>
      </c>
      <c r="K77" s="38" t="str">
        <f t="shared" si="5"/>
        <v/>
      </c>
      <c r="L77" s="38" t="str">
        <f t="shared" si="5"/>
        <v/>
      </c>
      <c r="M77" s="38" t="str">
        <f t="shared" si="5"/>
        <v/>
      </c>
      <c r="N77" s="38" t="str">
        <f t="shared" si="5"/>
        <v/>
      </c>
      <c r="O77" s="38" t="str">
        <f t="shared" si="5"/>
        <v/>
      </c>
      <c r="P77" s="38" t="str">
        <f t="shared" si="5"/>
        <v/>
      </c>
      <c r="Q77" s="38" t="str">
        <f t="shared" si="5"/>
        <v/>
      </c>
      <c r="R77" s="38" t="str">
        <f t="shared" si="5"/>
        <v/>
      </c>
      <c r="S77" s="38" t="str">
        <f t="shared" si="5"/>
        <v/>
      </c>
      <c r="T77" s="101" t="str">
        <f t="shared" si="5"/>
        <v/>
      </c>
    </row>
    <row r="78" spans="1:20" ht="16.5" x14ac:dyDescent="0.3">
      <c r="A78"/>
      <c r="B78" s="93"/>
      <c r="C78"/>
      <c r="D78"/>
      <c r="E78" s="94"/>
      <c r="I78" s="100" t="str">
        <f t="shared" si="6"/>
        <v/>
      </c>
      <c r="J78" s="38" t="str">
        <f t="shared" si="5"/>
        <v/>
      </c>
      <c r="K78" s="38" t="str">
        <f t="shared" si="5"/>
        <v/>
      </c>
      <c r="L78" s="38" t="str">
        <f t="shared" si="5"/>
        <v/>
      </c>
      <c r="M78" s="38" t="str">
        <f t="shared" si="5"/>
        <v/>
      </c>
      <c r="N78" s="38" t="str">
        <f t="shared" si="5"/>
        <v/>
      </c>
      <c r="O78" s="38" t="str">
        <f t="shared" si="5"/>
        <v/>
      </c>
      <c r="P78" s="38" t="str">
        <f t="shared" si="5"/>
        <v/>
      </c>
      <c r="Q78" s="38" t="str">
        <f t="shared" si="5"/>
        <v/>
      </c>
      <c r="R78" s="38" t="str">
        <f t="shared" si="5"/>
        <v/>
      </c>
      <c r="S78" s="38" t="str">
        <f t="shared" si="5"/>
        <v/>
      </c>
      <c r="T78" s="101" t="str">
        <f t="shared" si="5"/>
        <v/>
      </c>
    </row>
    <row r="79" spans="1:20" ht="16.5" x14ac:dyDescent="0.3">
      <c r="A79"/>
      <c r="B79" s="93"/>
      <c r="C79"/>
      <c r="D79"/>
      <c r="E79" s="94"/>
      <c r="I79" s="100" t="str">
        <f t="shared" si="6"/>
        <v/>
      </c>
      <c r="J79" s="38" t="str">
        <f t="shared" si="5"/>
        <v/>
      </c>
      <c r="K79" s="38" t="str">
        <f t="shared" si="5"/>
        <v/>
      </c>
      <c r="L79" s="38" t="str">
        <f t="shared" si="5"/>
        <v/>
      </c>
      <c r="M79" s="38" t="str">
        <f t="shared" si="5"/>
        <v/>
      </c>
      <c r="N79" s="38" t="str">
        <f t="shared" si="5"/>
        <v/>
      </c>
      <c r="O79" s="38" t="str">
        <f t="shared" si="5"/>
        <v/>
      </c>
      <c r="P79" s="38" t="str">
        <f t="shared" si="5"/>
        <v/>
      </c>
      <c r="Q79" s="38" t="str">
        <f t="shared" si="5"/>
        <v/>
      </c>
      <c r="R79" s="38" t="str">
        <f t="shared" si="5"/>
        <v/>
      </c>
      <c r="S79" s="38" t="str">
        <f t="shared" si="5"/>
        <v/>
      </c>
      <c r="T79" s="101" t="str">
        <f t="shared" si="5"/>
        <v/>
      </c>
    </row>
    <row r="80" spans="1:20" ht="16.5" x14ac:dyDescent="0.3">
      <c r="A80"/>
      <c r="B80" s="93"/>
      <c r="C80"/>
      <c r="D80"/>
      <c r="E80" s="94"/>
      <c r="I80" s="100" t="str">
        <f t="shared" si="6"/>
        <v/>
      </c>
      <c r="J80" s="38" t="str">
        <f t="shared" si="5"/>
        <v/>
      </c>
      <c r="K80" s="38" t="str">
        <f t="shared" si="5"/>
        <v/>
      </c>
      <c r="L80" s="38" t="str">
        <f t="shared" si="5"/>
        <v/>
      </c>
      <c r="M80" s="38" t="str">
        <f t="shared" si="5"/>
        <v/>
      </c>
      <c r="N80" s="38" t="str">
        <f t="shared" si="5"/>
        <v/>
      </c>
      <c r="O80" s="38" t="str">
        <f t="shared" si="5"/>
        <v/>
      </c>
      <c r="P80" s="38" t="str">
        <f t="shared" si="5"/>
        <v/>
      </c>
      <c r="Q80" s="38" t="str">
        <f t="shared" si="5"/>
        <v/>
      </c>
      <c r="R80" s="38" t="str">
        <f t="shared" si="5"/>
        <v/>
      </c>
      <c r="S80" s="38" t="str">
        <f t="shared" si="5"/>
        <v/>
      </c>
      <c r="T80" s="101" t="str">
        <f t="shared" si="5"/>
        <v/>
      </c>
    </row>
    <row r="81" spans="1:20" ht="16.5" x14ac:dyDescent="0.3">
      <c r="A81"/>
      <c r="B81" s="93"/>
      <c r="C81"/>
      <c r="D81"/>
      <c r="E81" s="94"/>
      <c r="I81" s="100" t="str">
        <f t="shared" si="6"/>
        <v/>
      </c>
      <c r="J81" s="38" t="str">
        <f t="shared" si="5"/>
        <v/>
      </c>
      <c r="K81" s="38" t="str">
        <f t="shared" si="5"/>
        <v/>
      </c>
      <c r="L81" s="38" t="str">
        <f t="shared" si="5"/>
        <v/>
      </c>
      <c r="M81" s="38" t="str">
        <f t="shared" si="5"/>
        <v/>
      </c>
      <c r="N81" s="38" t="str">
        <f t="shared" si="5"/>
        <v/>
      </c>
      <c r="O81" s="38" t="str">
        <f t="shared" si="5"/>
        <v/>
      </c>
      <c r="P81" s="38" t="str">
        <f t="shared" si="5"/>
        <v/>
      </c>
      <c r="Q81" s="38" t="str">
        <f t="shared" si="5"/>
        <v/>
      </c>
      <c r="R81" s="38" t="str">
        <f t="shared" si="5"/>
        <v/>
      </c>
      <c r="S81" s="38" t="str">
        <f t="shared" si="5"/>
        <v/>
      </c>
      <c r="T81" s="101" t="str">
        <f t="shared" si="5"/>
        <v/>
      </c>
    </row>
    <row r="82" spans="1:20" ht="16.5" x14ac:dyDescent="0.3">
      <c r="A82"/>
      <c r="B82" s="93"/>
      <c r="C82"/>
      <c r="D82"/>
      <c r="E82" s="94"/>
      <c r="I82" s="100" t="str">
        <f t="shared" si="6"/>
        <v/>
      </c>
      <c r="J82" s="38" t="str">
        <f t="shared" si="5"/>
        <v/>
      </c>
      <c r="K82" s="38" t="str">
        <f t="shared" si="5"/>
        <v/>
      </c>
      <c r="L82" s="38" t="str">
        <f t="shared" si="5"/>
        <v/>
      </c>
      <c r="M82" s="38" t="str">
        <f t="shared" si="5"/>
        <v/>
      </c>
      <c r="N82" s="38" t="str">
        <f t="shared" si="5"/>
        <v/>
      </c>
      <c r="O82" s="38" t="str">
        <f t="shared" si="5"/>
        <v/>
      </c>
      <c r="P82" s="38" t="str">
        <f t="shared" si="5"/>
        <v/>
      </c>
      <c r="Q82" s="38" t="str">
        <f t="shared" si="5"/>
        <v/>
      </c>
      <c r="R82" s="38" t="str">
        <f t="shared" si="5"/>
        <v/>
      </c>
      <c r="S82" s="38" t="str">
        <f t="shared" si="5"/>
        <v/>
      </c>
      <c r="T82" s="101" t="str">
        <f t="shared" si="5"/>
        <v/>
      </c>
    </row>
    <row r="83" spans="1:20" ht="16.5" x14ac:dyDescent="0.3">
      <c r="A83"/>
      <c r="B83" s="93"/>
      <c r="C83"/>
      <c r="D83"/>
      <c r="E83" s="94"/>
      <c r="I83" s="100" t="str">
        <f t="shared" si="6"/>
        <v/>
      </c>
      <c r="J83" s="38" t="str">
        <f t="shared" si="5"/>
        <v/>
      </c>
      <c r="K83" s="38" t="str">
        <f t="shared" si="5"/>
        <v/>
      </c>
      <c r="L83" s="38" t="str">
        <f t="shared" si="5"/>
        <v/>
      </c>
      <c r="M83" s="38" t="str">
        <f t="shared" si="5"/>
        <v/>
      </c>
      <c r="N83" s="38" t="str">
        <f t="shared" si="5"/>
        <v/>
      </c>
      <c r="O83" s="38" t="str">
        <f t="shared" si="5"/>
        <v/>
      </c>
      <c r="P83" s="38" t="str">
        <f t="shared" si="5"/>
        <v/>
      </c>
      <c r="Q83" s="38" t="str">
        <f t="shared" si="5"/>
        <v/>
      </c>
      <c r="R83" s="38" t="str">
        <f t="shared" si="5"/>
        <v/>
      </c>
      <c r="S83" s="38" t="str">
        <f t="shared" si="5"/>
        <v/>
      </c>
      <c r="T83" s="101" t="str">
        <f t="shared" si="5"/>
        <v/>
      </c>
    </row>
    <row r="84" spans="1:20" ht="16.5" x14ac:dyDescent="0.3">
      <c r="A84"/>
      <c r="B84" s="93"/>
      <c r="C84"/>
      <c r="D84"/>
      <c r="E84" s="94"/>
      <c r="I84" s="100" t="str">
        <f t="shared" si="6"/>
        <v/>
      </c>
      <c r="J84" s="38" t="str">
        <f t="shared" si="5"/>
        <v/>
      </c>
      <c r="K84" s="38" t="str">
        <f t="shared" si="5"/>
        <v/>
      </c>
      <c r="L84" s="38" t="str">
        <f t="shared" si="5"/>
        <v/>
      </c>
      <c r="M84" s="38" t="str">
        <f t="shared" si="5"/>
        <v/>
      </c>
      <c r="N84" s="38" t="str">
        <f t="shared" si="5"/>
        <v/>
      </c>
      <c r="O84" s="38" t="str">
        <f t="shared" si="5"/>
        <v/>
      </c>
      <c r="P84" s="38" t="str">
        <f t="shared" si="5"/>
        <v/>
      </c>
      <c r="Q84" s="38" t="str">
        <f t="shared" si="5"/>
        <v/>
      </c>
      <c r="R84" s="38" t="str">
        <f t="shared" si="5"/>
        <v/>
      </c>
      <c r="S84" s="38" t="str">
        <f t="shared" si="5"/>
        <v/>
      </c>
      <c r="T84" s="101" t="str">
        <f t="shared" si="5"/>
        <v/>
      </c>
    </row>
    <row r="85" spans="1:20" ht="16.5" x14ac:dyDescent="0.3">
      <c r="A85"/>
      <c r="B85" s="93"/>
      <c r="C85"/>
      <c r="D85"/>
      <c r="E85" s="94"/>
      <c r="I85" s="100" t="str">
        <f t="shared" si="6"/>
        <v/>
      </c>
      <c r="J85" s="38" t="str">
        <f t="shared" si="5"/>
        <v/>
      </c>
      <c r="K85" s="38" t="str">
        <f t="shared" si="5"/>
        <v/>
      </c>
      <c r="L85" s="38" t="str">
        <f t="shared" si="5"/>
        <v/>
      </c>
      <c r="M85" s="38" t="str">
        <f t="shared" si="5"/>
        <v/>
      </c>
      <c r="N85" s="38" t="str">
        <f t="shared" si="5"/>
        <v/>
      </c>
      <c r="O85" s="38" t="str">
        <f t="shared" si="5"/>
        <v/>
      </c>
      <c r="P85" s="38" t="str">
        <f t="shared" si="5"/>
        <v/>
      </c>
      <c r="Q85" s="38" t="str">
        <f t="shared" si="5"/>
        <v/>
      </c>
      <c r="R85" s="38" t="str">
        <f t="shared" si="5"/>
        <v/>
      </c>
      <c r="S85" s="38" t="str">
        <f t="shared" si="5"/>
        <v/>
      </c>
      <c r="T85" s="101" t="str">
        <f t="shared" si="5"/>
        <v/>
      </c>
    </row>
    <row r="86" spans="1:20" ht="16.5" x14ac:dyDescent="0.3">
      <c r="A86"/>
      <c r="B86" s="93"/>
      <c r="C86"/>
      <c r="D86"/>
      <c r="E86" s="94"/>
      <c r="I86" s="100" t="str">
        <f t="shared" si="6"/>
        <v/>
      </c>
      <c r="J86" s="38" t="str">
        <f t="shared" si="5"/>
        <v/>
      </c>
      <c r="K86" s="38" t="str">
        <f t="shared" si="5"/>
        <v/>
      </c>
      <c r="L86" s="38" t="str">
        <f t="shared" si="5"/>
        <v/>
      </c>
      <c r="M86" s="38" t="str">
        <f t="shared" si="5"/>
        <v/>
      </c>
      <c r="N86" s="38" t="str">
        <f t="shared" ref="J86:T108" si="7">IF(OR(N$8="", $E86=""), "", IF(N$8&lt;$E86, IF($C86=0, "", $C86), $D86))</f>
        <v/>
      </c>
      <c r="O86" s="38" t="str">
        <f t="shared" si="7"/>
        <v/>
      </c>
      <c r="P86" s="38" t="str">
        <f t="shared" si="7"/>
        <v/>
      </c>
      <c r="Q86" s="38" t="str">
        <f t="shared" si="7"/>
        <v/>
      </c>
      <c r="R86" s="38" t="str">
        <f t="shared" si="7"/>
        <v/>
      </c>
      <c r="S86" s="38" t="str">
        <f t="shared" si="7"/>
        <v/>
      </c>
      <c r="T86" s="101" t="str">
        <f t="shared" si="7"/>
        <v/>
      </c>
    </row>
    <row r="87" spans="1:20" ht="16.5" x14ac:dyDescent="0.3">
      <c r="A87"/>
      <c r="B87" s="93"/>
      <c r="C87"/>
      <c r="D87"/>
      <c r="E87" s="94"/>
      <c r="I87" s="100" t="str">
        <f t="shared" si="6"/>
        <v/>
      </c>
      <c r="J87" s="38" t="str">
        <f t="shared" si="7"/>
        <v/>
      </c>
      <c r="K87" s="38" t="str">
        <f t="shared" si="7"/>
        <v/>
      </c>
      <c r="L87" s="38" t="str">
        <f t="shared" si="7"/>
        <v/>
      </c>
      <c r="M87" s="38" t="str">
        <f t="shared" si="7"/>
        <v/>
      </c>
      <c r="N87" s="38" t="str">
        <f t="shared" si="7"/>
        <v/>
      </c>
      <c r="O87" s="38" t="str">
        <f t="shared" si="7"/>
        <v/>
      </c>
      <c r="P87" s="38" t="str">
        <f t="shared" si="7"/>
        <v/>
      </c>
      <c r="Q87" s="38" t="str">
        <f t="shared" si="7"/>
        <v/>
      </c>
      <c r="R87" s="38" t="str">
        <f t="shared" si="7"/>
        <v/>
      </c>
      <c r="S87" s="38" t="str">
        <f t="shared" si="7"/>
        <v/>
      </c>
      <c r="T87" s="101" t="str">
        <f t="shared" si="7"/>
        <v/>
      </c>
    </row>
    <row r="88" spans="1:20" ht="16.5" x14ac:dyDescent="0.3">
      <c r="A88"/>
      <c r="B88" s="93"/>
      <c r="C88"/>
      <c r="D88"/>
      <c r="E88" s="94"/>
      <c r="I88" s="100" t="str">
        <f t="shared" si="6"/>
        <v/>
      </c>
      <c r="J88" s="38" t="str">
        <f t="shared" si="7"/>
        <v/>
      </c>
      <c r="K88" s="38" t="str">
        <f t="shared" si="7"/>
        <v/>
      </c>
      <c r="L88" s="38" t="str">
        <f t="shared" si="7"/>
        <v/>
      </c>
      <c r="M88" s="38" t="str">
        <f t="shared" si="7"/>
        <v/>
      </c>
      <c r="N88" s="38" t="str">
        <f t="shared" si="7"/>
        <v/>
      </c>
      <c r="O88" s="38" t="str">
        <f t="shared" si="7"/>
        <v/>
      </c>
      <c r="P88" s="38" t="str">
        <f t="shared" si="7"/>
        <v/>
      </c>
      <c r="Q88" s="38" t="str">
        <f t="shared" si="7"/>
        <v/>
      </c>
      <c r="R88" s="38" t="str">
        <f t="shared" si="7"/>
        <v/>
      </c>
      <c r="S88" s="38" t="str">
        <f t="shared" si="7"/>
        <v/>
      </c>
      <c r="T88" s="101" t="str">
        <f t="shared" si="7"/>
        <v/>
      </c>
    </row>
    <row r="89" spans="1:20" ht="16.5" x14ac:dyDescent="0.3">
      <c r="A89"/>
      <c r="B89" s="93"/>
      <c r="C89"/>
      <c r="D89"/>
      <c r="E89" s="94"/>
      <c r="I89" s="100" t="str">
        <f t="shared" si="6"/>
        <v/>
      </c>
      <c r="J89" s="38" t="str">
        <f t="shared" si="7"/>
        <v/>
      </c>
      <c r="K89" s="38" t="str">
        <f t="shared" si="7"/>
        <v/>
      </c>
      <c r="L89" s="38" t="str">
        <f t="shared" si="7"/>
        <v/>
      </c>
      <c r="M89" s="38" t="str">
        <f t="shared" si="7"/>
        <v/>
      </c>
      <c r="N89" s="38" t="str">
        <f t="shared" si="7"/>
        <v/>
      </c>
      <c r="O89" s="38" t="str">
        <f t="shared" si="7"/>
        <v/>
      </c>
      <c r="P89" s="38" t="str">
        <f t="shared" si="7"/>
        <v/>
      </c>
      <c r="Q89" s="38" t="str">
        <f t="shared" si="7"/>
        <v/>
      </c>
      <c r="R89" s="38" t="str">
        <f t="shared" si="7"/>
        <v/>
      </c>
      <c r="S89" s="38" t="str">
        <f t="shared" si="7"/>
        <v/>
      </c>
      <c r="T89" s="101" t="str">
        <f t="shared" si="7"/>
        <v/>
      </c>
    </row>
    <row r="90" spans="1:20" ht="16.5" x14ac:dyDescent="0.3">
      <c r="A90"/>
      <c r="B90" s="93"/>
      <c r="C90"/>
      <c r="D90"/>
      <c r="E90" s="94"/>
      <c r="I90" s="100" t="str">
        <f t="shared" si="6"/>
        <v/>
      </c>
      <c r="J90" s="38" t="str">
        <f t="shared" si="7"/>
        <v/>
      </c>
      <c r="K90" s="38" t="str">
        <f t="shared" si="7"/>
        <v/>
      </c>
      <c r="L90" s="38" t="str">
        <f t="shared" si="7"/>
        <v/>
      </c>
      <c r="M90" s="38" t="str">
        <f t="shared" si="7"/>
        <v/>
      </c>
      <c r="N90" s="38" t="str">
        <f t="shared" si="7"/>
        <v/>
      </c>
      <c r="O90" s="38" t="str">
        <f t="shared" si="7"/>
        <v/>
      </c>
      <c r="P90" s="38" t="str">
        <f t="shared" si="7"/>
        <v/>
      </c>
      <c r="Q90" s="38" t="str">
        <f t="shared" si="7"/>
        <v/>
      </c>
      <c r="R90" s="38" t="str">
        <f t="shared" si="7"/>
        <v/>
      </c>
      <c r="S90" s="38" t="str">
        <f t="shared" si="7"/>
        <v/>
      </c>
      <c r="T90" s="101" t="str">
        <f t="shared" si="7"/>
        <v/>
      </c>
    </row>
    <row r="91" spans="1:20" ht="16.5" x14ac:dyDescent="0.3">
      <c r="A91"/>
      <c r="B91" s="93"/>
      <c r="C91"/>
      <c r="D91"/>
      <c r="E91" s="94"/>
      <c r="I91" s="100" t="str">
        <f t="shared" si="6"/>
        <v/>
      </c>
      <c r="J91" s="38" t="str">
        <f t="shared" si="7"/>
        <v/>
      </c>
      <c r="K91" s="38" t="str">
        <f t="shared" si="7"/>
        <v/>
      </c>
      <c r="L91" s="38" t="str">
        <f t="shared" si="7"/>
        <v/>
      </c>
      <c r="M91" s="38" t="str">
        <f t="shared" si="7"/>
        <v/>
      </c>
      <c r="N91" s="38" t="str">
        <f t="shared" si="7"/>
        <v/>
      </c>
      <c r="O91" s="38" t="str">
        <f t="shared" si="7"/>
        <v/>
      </c>
      <c r="P91" s="38" t="str">
        <f t="shared" si="7"/>
        <v/>
      </c>
      <c r="Q91" s="38" t="str">
        <f t="shared" si="7"/>
        <v/>
      </c>
      <c r="R91" s="38" t="str">
        <f t="shared" si="7"/>
        <v/>
      </c>
      <c r="S91" s="38" t="str">
        <f t="shared" si="7"/>
        <v/>
      </c>
      <c r="T91" s="101" t="str">
        <f t="shared" si="7"/>
        <v/>
      </c>
    </row>
    <row r="92" spans="1:20" ht="16.5" x14ac:dyDescent="0.3">
      <c r="A92"/>
      <c r="B92" s="93"/>
      <c r="C92"/>
      <c r="D92"/>
      <c r="E92" s="94"/>
      <c r="I92" s="100" t="str">
        <f t="shared" si="6"/>
        <v/>
      </c>
      <c r="J92" s="38" t="str">
        <f t="shared" si="7"/>
        <v/>
      </c>
      <c r="K92" s="38" t="str">
        <f t="shared" si="7"/>
        <v/>
      </c>
      <c r="L92" s="38" t="str">
        <f t="shared" si="7"/>
        <v/>
      </c>
      <c r="M92" s="38" t="str">
        <f t="shared" si="7"/>
        <v/>
      </c>
      <c r="N92" s="38" t="str">
        <f t="shared" si="7"/>
        <v/>
      </c>
      <c r="O92" s="38" t="str">
        <f t="shared" si="7"/>
        <v/>
      </c>
      <c r="P92" s="38" t="str">
        <f t="shared" si="7"/>
        <v/>
      </c>
      <c r="Q92" s="38" t="str">
        <f t="shared" si="7"/>
        <v/>
      </c>
      <c r="R92" s="38" t="str">
        <f t="shared" si="7"/>
        <v/>
      </c>
      <c r="S92" s="38" t="str">
        <f t="shared" si="7"/>
        <v/>
      </c>
      <c r="T92" s="101" t="str">
        <f t="shared" si="7"/>
        <v/>
      </c>
    </row>
    <row r="93" spans="1:20" ht="16.5" x14ac:dyDescent="0.3">
      <c r="A93"/>
      <c r="B93" s="93"/>
      <c r="C93"/>
      <c r="D93"/>
      <c r="E93" s="94"/>
      <c r="I93" s="100" t="str">
        <f t="shared" si="6"/>
        <v/>
      </c>
      <c r="J93" s="38" t="str">
        <f t="shared" si="7"/>
        <v/>
      </c>
      <c r="K93" s="38" t="str">
        <f t="shared" si="7"/>
        <v/>
      </c>
      <c r="L93" s="38" t="str">
        <f t="shared" si="7"/>
        <v/>
      </c>
      <c r="M93" s="38" t="str">
        <f t="shared" si="7"/>
        <v/>
      </c>
      <c r="N93" s="38" t="str">
        <f t="shared" si="7"/>
        <v/>
      </c>
      <c r="O93" s="38" t="str">
        <f t="shared" si="7"/>
        <v/>
      </c>
      <c r="P93" s="38" t="str">
        <f t="shared" si="7"/>
        <v/>
      </c>
      <c r="Q93" s="38" t="str">
        <f t="shared" si="7"/>
        <v/>
      </c>
      <c r="R93" s="38" t="str">
        <f t="shared" si="7"/>
        <v/>
      </c>
      <c r="S93" s="38" t="str">
        <f t="shared" si="7"/>
        <v/>
      </c>
      <c r="T93" s="101" t="str">
        <f t="shared" si="7"/>
        <v/>
      </c>
    </row>
    <row r="94" spans="1:20" ht="16.5" x14ac:dyDescent="0.3">
      <c r="A94"/>
      <c r="B94" s="93"/>
      <c r="C94"/>
      <c r="D94"/>
      <c r="E94" s="94"/>
      <c r="I94" s="100" t="str">
        <f t="shared" si="6"/>
        <v/>
      </c>
      <c r="J94" s="38" t="str">
        <f t="shared" si="7"/>
        <v/>
      </c>
      <c r="K94" s="38" t="str">
        <f t="shared" si="7"/>
        <v/>
      </c>
      <c r="L94" s="38" t="str">
        <f t="shared" si="7"/>
        <v/>
      </c>
      <c r="M94" s="38" t="str">
        <f t="shared" si="7"/>
        <v/>
      </c>
      <c r="N94" s="38" t="str">
        <f t="shared" si="7"/>
        <v/>
      </c>
      <c r="O94" s="38" t="str">
        <f t="shared" si="7"/>
        <v/>
      </c>
      <c r="P94" s="38" t="str">
        <f t="shared" si="7"/>
        <v/>
      </c>
      <c r="Q94" s="38" t="str">
        <f t="shared" si="7"/>
        <v/>
      </c>
      <c r="R94" s="38" t="str">
        <f t="shared" si="7"/>
        <v/>
      </c>
      <c r="S94" s="38" t="str">
        <f t="shared" si="7"/>
        <v/>
      </c>
      <c r="T94" s="101" t="str">
        <f t="shared" si="7"/>
        <v/>
      </c>
    </row>
    <row r="95" spans="1:20" ht="16.5" x14ac:dyDescent="0.3">
      <c r="A95"/>
      <c r="B95" s="93"/>
      <c r="C95"/>
      <c r="D95"/>
      <c r="E95" s="94"/>
      <c r="I95" s="100" t="str">
        <f t="shared" si="6"/>
        <v/>
      </c>
      <c r="J95" s="38" t="str">
        <f t="shared" si="7"/>
        <v/>
      </c>
      <c r="K95" s="38" t="str">
        <f t="shared" si="7"/>
        <v/>
      </c>
      <c r="L95" s="38" t="str">
        <f t="shared" si="7"/>
        <v/>
      </c>
      <c r="M95" s="38" t="str">
        <f t="shared" si="7"/>
        <v/>
      </c>
      <c r="N95" s="38" t="str">
        <f t="shared" si="7"/>
        <v/>
      </c>
      <c r="O95" s="38" t="str">
        <f t="shared" si="7"/>
        <v/>
      </c>
      <c r="P95" s="38" t="str">
        <f t="shared" si="7"/>
        <v/>
      </c>
      <c r="Q95" s="38" t="str">
        <f t="shared" si="7"/>
        <v/>
      </c>
      <c r="R95" s="38" t="str">
        <f t="shared" si="7"/>
        <v/>
      </c>
      <c r="S95" s="38" t="str">
        <f t="shared" si="7"/>
        <v/>
      </c>
      <c r="T95" s="101" t="str">
        <f t="shared" si="7"/>
        <v/>
      </c>
    </row>
    <row r="96" spans="1:20" ht="16.5" x14ac:dyDescent="0.3">
      <c r="A96"/>
      <c r="B96" s="93"/>
      <c r="C96"/>
      <c r="D96"/>
      <c r="E96" s="94"/>
      <c r="I96" s="100" t="str">
        <f t="shared" si="6"/>
        <v/>
      </c>
      <c r="J96" s="38" t="str">
        <f t="shared" si="7"/>
        <v/>
      </c>
      <c r="K96" s="38" t="str">
        <f t="shared" si="7"/>
        <v/>
      </c>
      <c r="L96" s="38" t="str">
        <f t="shared" si="7"/>
        <v/>
      </c>
      <c r="M96" s="38" t="str">
        <f t="shared" si="7"/>
        <v/>
      </c>
      <c r="N96" s="38" t="str">
        <f t="shared" si="7"/>
        <v/>
      </c>
      <c r="O96" s="38" t="str">
        <f t="shared" si="7"/>
        <v/>
      </c>
      <c r="P96" s="38" t="str">
        <f t="shared" si="7"/>
        <v/>
      </c>
      <c r="Q96" s="38" t="str">
        <f t="shared" si="7"/>
        <v/>
      </c>
      <c r="R96" s="38" t="str">
        <f t="shared" si="7"/>
        <v/>
      </c>
      <c r="S96" s="38" t="str">
        <f t="shared" si="7"/>
        <v/>
      </c>
      <c r="T96" s="101" t="str">
        <f t="shared" si="7"/>
        <v/>
      </c>
    </row>
    <row r="97" spans="1:20" ht="16.5" x14ac:dyDescent="0.3">
      <c r="A97"/>
      <c r="B97" s="93"/>
      <c r="C97"/>
      <c r="D97"/>
      <c r="E97" s="94"/>
      <c r="I97" s="100" t="str">
        <f t="shared" si="6"/>
        <v/>
      </c>
      <c r="J97" s="38" t="str">
        <f t="shared" si="7"/>
        <v/>
      </c>
      <c r="K97" s="38" t="str">
        <f t="shared" si="7"/>
        <v/>
      </c>
      <c r="L97" s="38" t="str">
        <f t="shared" si="7"/>
        <v/>
      </c>
      <c r="M97" s="38" t="str">
        <f t="shared" si="7"/>
        <v/>
      </c>
      <c r="N97" s="38" t="str">
        <f t="shared" si="7"/>
        <v/>
      </c>
      <c r="O97" s="38" t="str">
        <f t="shared" si="7"/>
        <v/>
      </c>
      <c r="P97" s="38" t="str">
        <f t="shared" si="7"/>
        <v/>
      </c>
      <c r="Q97" s="38" t="str">
        <f t="shared" si="7"/>
        <v/>
      </c>
      <c r="R97" s="38" t="str">
        <f t="shared" si="7"/>
        <v/>
      </c>
      <c r="S97" s="38" t="str">
        <f t="shared" si="7"/>
        <v/>
      </c>
      <c r="T97" s="101" t="str">
        <f t="shared" si="7"/>
        <v/>
      </c>
    </row>
    <row r="98" spans="1:20" ht="16.5" x14ac:dyDescent="0.3">
      <c r="A98"/>
      <c r="B98" s="93"/>
      <c r="C98"/>
      <c r="D98"/>
      <c r="E98" s="94"/>
      <c r="I98" s="100" t="str">
        <f t="shared" si="6"/>
        <v/>
      </c>
      <c r="J98" s="38" t="str">
        <f t="shared" si="7"/>
        <v/>
      </c>
      <c r="K98" s="38" t="str">
        <f t="shared" si="7"/>
        <v/>
      </c>
      <c r="L98" s="38" t="str">
        <f t="shared" si="7"/>
        <v/>
      </c>
      <c r="M98" s="38" t="str">
        <f t="shared" si="7"/>
        <v/>
      </c>
      <c r="N98" s="38" t="str">
        <f t="shared" si="7"/>
        <v/>
      </c>
      <c r="O98" s="38" t="str">
        <f t="shared" si="7"/>
        <v/>
      </c>
      <c r="P98" s="38" t="str">
        <f t="shared" si="7"/>
        <v/>
      </c>
      <c r="Q98" s="38" t="str">
        <f t="shared" si="7"/>
        <v/>
      </c>
      <c r="R98" s="38" t="str">
        <f t="shared" si="7"/>
        <v/>
      </c>
      <c r="S98" s="38" t="str">
        <f t="shared" si="7"/>
        <v/>
      </c>
      <c r="T98" s="101" t="str">
        <f t="shared" si="7"/>
        <v/>
      </c>
    </row>
    <row r="99" spans="1:20" ht="16.5" x14ac:dyDescent="0.3">
      <c r="A99"/>
      <c r="B99" s="93"/>
      <c r="C99"/>
      <c r="D99"/>
      <c r="E99" s="94"/>
      <c r="I99" s="100" t="str">
        <f t="shared" si="6"/>
        <v/>
      </c>
      <c r="J99" s="38" t="str">
        <f t="shared" si="7"/>
        <v/>
      </c>
      <c r="K99" s="38" t="str">
        <f t="shared" si="7"/>
        <v/>
      </c>
      <c r="L99" s="38" t="str">
        <f t="shared" si="7"/>
        <v/>
      </c>
      <c r="M99" s="38" t="str">
        <f t="shared" si="7"/>
        <v/>
      </c>
      <c r="N99" s="38" t="str">
        <f t="shared" si="7"/>
        <v/>
      </c>
      <c r="O99" s="38" t="str">
        <f t="shared" si="7"/>
        <v/>
      </c>
      <c r="P99" s="38" t="str">
        <f t="shared" si="7"/>
        <v/>
      </c>
      <c r="Q99" s="38" t="str">
        <f t="shared" si="7"/>
        <v/>
      </c>
      <c r="R99" s="38" t="str">
        <f t="shared" si="7"/>
        <v/>
      </c>
      <c r="S99" s="38" t="str">
        <f t="shared" si="7"/>
        <v/>
      </c>
      <c r="T99" s="101" t="str">
        <f t="shared" si="7"/>
        <v/>
      </c>
    </row>
    <row r="100" spans="1:20" ht="16.5" x14ac:dyDescent="0.3">
      <c r="A100"/>
      <c r="B100" s="93"/>
      <c r="C100"/>
      <c r="D100"/>
      <c r="E100" s="94"/>
      <c r="I100" s="100" t="str">
        <f t="shared" si="6"/>
        <v/>
      </c>
      <c r="J100" s="38" t="str">
        <f t="shared" si="7"/>
        <v/>
      </c>
      <c r="K100" s="38" t="str">
        <f t="shared" si="7"/>
        <v/>
      </c>
      <c r="L100" s="38" t="str">
        <f t="shared" si="7"/>
        <v/>
      </c>
      <c r="M100" s="38" t="str">
        <f t="shared" si="7"/>
        <v/>
      </c>
      <c r="N100" s="38" t="str">
        <f t="shared" si="7"/>
        <v/>
      </c>
      <c r="O100" s="38" t="str">
        <f t="shared" si="7"/>
        <v/>
      </c>
      <c r="P100" s="38" t="str">
        <f t="shared" si="7"/>
        <v/>
      </c>
      <c r="Q100" s="38" t="str">
        <f t="shared" si="7"/>
        <v/>
      </c>
      <c r="R100" s="38" t="str">
        <f t="shared" si="7"/>
        <v/>
      </c>
      <c r="S100" s="38" t="str">
        <f t="shared" si="7"/>
        <v/>
      </c>
      <c r="T100" s="101" t="str">
        <f t="shared" si="7"/>
        <v/>
      </c>
    </row>
    <row r="101" spans="1:20" ht="16.5" x14ac:dyDescent="0.3">
      <c r="A101"/>
      <c r="B101" s="93"/>
      <c r="C101"/>
      <c r="D101"/>
      <c r="E101" s="94"/>
      <c r="I101" s="100" t="str">
        <f t="shared" si="6"/>
        <v/>
      </c>
      <c r="J101" s="38" t="str">
        <f t="shared" si="7"/>
        <v/>
      </c>
      <c r="K101" s="38" t="str">
        <f t="shared" si="7"/>
        <v/>
      </c>
      <c r="L101" s="38" t="str">
        <f t="shared" si="7"/>
        <v/>
      </c>
      <c r="M101" s="38" t="str">
        <f t="shared" si="7"/>
        <v/>
      </c>
      <c r="N101" s="38" t="str">
        <f t="shared" si="7"/>
        <v/>
      </c>
      <c r="O101" s="38" t="str">
        <f t="shared" si="7"/>
        <v/>
      </c>
      <c r="P101" s="38" t="str">
        <f t="shared" si="7"/>
        <v/>
      </c>
      <c r="Q101" s="38" t="str">
        <f t="shared" si="7"/>
        <v/>
      </c>
      <c r="R101" s="38" t="str">
        <f t="shared" si="7"/>
        <v/>
      </c>
      <c r="S101" s="38" t="str">
        <f t="shared" si="7"/>
        <v/>
      </c>
      <c r="T101" s="101" t="str">
        <f t="shared" si="7"/>
        <v/>
      </c>
    </row>
    <row r="102" spans="1:20" ht="16.5" x14ac:dyDescent="0.3">
      <c r="A102"/>
      <c r="B102" s="93"/>
      <c r="C102"/>
      <c r="D102"/>
      <c r="E102" s="94"/>
      <c r="I102" s="100" t="str">
        <f t="shared" si="6"/>
        <v/>
      </c>
      <c r="J102" s="38" t="str">
        <f t="shared" si="7"/>
        <v/>
      </c>
      <c r="K102" s="38" t="str">
        <f t="shared" si="7"/>
        <v/>
      </c>
      <c r="L102" s="38" t="str">
        <f t="shared" si="7"/>
        <v/>
      </c>
      <c r="M102" s="38" t="str">
        <f t="shared" si="7"/>
        <v/>
      </c>
      <c r="N102" s="38" t="str">
        <f t="shared" si="7"/>
        <v/>
      </c>
      <c r="O102" s="38" t="str">
        <f t="shared" si="7"/>
        <v/>
      </c>
      <c r="P102" s="38" t="str">
        <f t="shared" si="7"/>
        <v/>
      </c>
      <c r="Q102" s="38" t="str">
        <f t="shared" si="7"/>
        <v/>
      </c>
      <c r="R102" s="38" t="str">
        <f t="shared" si="7"/>
        <v/>
      </c>
      <c r="S102" s="38" t="str">
        <f t="shared" si="7"/>
        <v/>
      </c>
      <c r="T102" s="101" t="str">
        <f t="shared" si="7"/>
        <v/>
      </c>
    </row>
    <row r="103" spans="1:20" ht="16.5" x14ac:dyDescent="0.3">
      <c r="A103"/>
      <c r="B103" s="93"/>
      <c r="C103"/>
      <c r="D103"/>
      <c r="E103" s="94"/>
      <c r="I103" s="100" t="str">
        <f t="shared" si="6"/>
        <v/>
      </c>
      <c r="J103" s="38" t="str">
        <f t="shared" si="7"/>
        <v/>
      </c>
      <c r="K103" s="38" t="str">
        <f t="shared" si="7"/>
        <v/>
      </c>
      <c r="L103" s="38" t="str">
        <f t="shared" si="7"/>
        <v/>
      </c>
      <c r="M103" s="38" t="str">
        <f t="shared" si="7"/>
        <v/>
      </c>
      <c r="N103" s="38" t="str">
        <f t="shared" si="7"/>
        <v/>
      </c>
      <c r="O103" s="38" t="str">
        <f t="shared" si="7"/>
        <v/>
      </c>
      <c r="P103" s="38" t="str">
        <f t="shared" si="7"/>
        <v/>
      </c>
      <c r="Q103" s="38" t="str">
        <f t="shared" si="7"/>
        <v/>
      </c>
      <c r="R103" s="38" t="str">
        <f t="shared" si="7"/>
        <v/>
      </c>
      <c r="S103" s="38" t="str">
        <f t="shared" si="7"/>
        <v/>
      </c>
      <c r="T103" s="101" t="str">
        <f t="shared" si="7"/>
        <v/>
      </c>
    </row>
    <row r="104" spans="1:20" ht="16.5" x14ac:dyDescent="0.3">
      <c r="A104"/>
      <c r="B104" s="93"/>
      <c r="C104"/>
      <c r="D104"/>
      <c r="E104" s="94"/>
      <c r="I104" s="100" t="str">
        <f t="shared" si="6"/>
        <v/>
      </c>
      <c r="J104" s="38" t="str">
        <f t="shared" si="7"/>
        <v/>
      </c>
      <c r="K104" s="38" t="str">
        <f t="shared" si="7"/>
        <v/>
      </c>
      <c r="L104" s="38" t="str">
        <f t="shared" si="7"/>
        <v/>
      </c>
      <c r="M104" s="38" t="str">
        <f t="shared" si="7"/>
        <v/>
      </c>
      <c r="N104" s="38" t="str">
        <f t="shared" si="7"/>
        <v/>
      </c>
      <c r="O104" s="38" t="str">
        <f t="shared" si="7"/>
        <v/>
      </c>
      <c r="P104" s="38" t="str">
        <f t="shared" si="7"/>
        <v/>
      </c>
      <c r="Q104" s="38" t="str">
        <f t="shared" si="7"/>
        <v/>
      </c>
      <c r="R104" s="38" t="str">
        <f t="shared" si="7"/>
        <v/>
      </c>
      <c r="S104" s="38" t="str">
        <f t="shared" si="7"/>
        <v/>
      </c>
      <c r="T104" s="101" t="str">
        <f t="shared" si="7"/>
        <v/>
      </c>
    </row>
    <row r="105" spans="1:20" ht="16.5" x14ac:dyDescent="0.3">
      <c r="A105"/>
      <c r="B105" s="93"/>
      <c r="C105"/>
      <c r="D105"/>
      <c r="E105" s="94"/>
      <c r="I105" s="100" t="str">
        <f t="shared" si="6"/>
        <v/>
      </c>
      <c r="J105" s="38" t="str">
        <f t="shared" si="7"/>
        <v/>
      </c>
      <c r="K105" s="38" t="str">
        <f t="shared" si="7"/>
        <v/>
      </c>
      <c r="L105" s="38" t="str">
        <f t="shared" si="7"/>
        <v/>
      </c>
      <c r="M105" s="38" t="str">
        <f t="shared" si="7"/>
        <v/>
      </c>
      <c r="N105" s="38" t="str">
        <f t="shared" si="7"/>
        <v/>
      </c>
      <c r="O105" s="38" t="str">
        <f t="shared" si="7"/>
        <v/>
      </c>
      <c r="P105" s="38" t="str">
        <f t="shared" si="7"/>
        <v/>
      </c>
      <c r="Q105" s="38" t="str">
        <f t="shared" si="7"/>
        <v/>
      </c>
      <c r="R105" s="38" t="str">
        <f t="shared" si="7"/>
        <v/>
      </c>
      <c r="S105" s="38" t="str">
        <f t="shared" si="7"/>
        <v/>
      </c>
      <c r="T105" s="101" t="str">
        <f t="shared" si="7"/>
        <v/>
      </c>
    </row>
    <row r="106" spans="1:20" ht="16.5" x14ac:dyDescent="0.3">
      <c r="A106"/>
      <c r="B106" s="93"/>
      <c r="C106"/>
      <c r="D106"/>
      <c r="E106" s="94"/>
      <c r="I106" s="100" t="str">
        <f t="shared" si="6"/>
        <v/>
      </c>
      <c r="J106" s="38" t="str">
        <f t="shared" si="7"/>
        <v/>
      </c>
      <c r="K106" s="38" t="str">
        <f t="shared" si="7"/>
        <v/>
      </c>
      <c r="L106" s="38" t="str">
        <f t="shared" si="7"/>
        <v/>
      </c>
      <c r="M106" s="38" t="str">
        <f t="shared" si="7"/>
        <v/>
      </c>
      <c r="N106" s="38" t="str">
        <f t="shared" si="7"/>
        <v/>
      </c>
      <c r="O106" s="38" t="str">
        <f t="shared" si="7"/>
        <v/>
      </c>
      <c r="P106" s="38" t="str">
        <f t="shared" si="7"/>
        <v/>
      </c>
      <c r="Q106" s="38" t="str">
        <f t="shared" si="7"/>
        <v/>
      </c>
      <c r="R106" s="38" t="str">
        <f t="shared" si="7"/>
        <v/>
      </c>
      <c r="S106" s="38" t="str">
        <f t="shared" si="7"/>
        <v/>
      </c>
      <c r="T106" s="101" t="str">
        <f t="shared" si="7"/>
        <v/>
      </c>
    </row>
    <row r="107" spans="1:20" ht="16.5" x14ac:dyDescent="0.3">
      <c r="A107"/>
      <c r="B107" s="93"/>
      <c r="C107"/>
      <c r="D107"/>
      <c r="E107" s="94"/>
      <c r="I107" s="100" t="str">
        <f t="shared" si="6"/>
        <v/>
      </c>
      <c r="J107" s="38" t="str">
        <f t="shared" si="7"/>
        <v/>
      </c>
      <c r="K107" s="38" t="str">
        <f t="shared" si="7"/>
        <v/>
      </c>
      <c r="L107" s="38" t="str">
        <f t="shared" si="7"/>
        <v/>
      </c>
      <c r="M107" s="38" t="str">
        <f t="shared" si="7"/>
        <v/>
      </c>
      <c r="N107" s="38" t="str">
        <f t="shared" si="7"/>
        <v/>
      </c>
      <c r="O107" s="38" t="str">
        <f t="shared" si="7"/>
        <v/>
      </c>
      <c r="P107" s="38" t="str">
        <f t="shared" si="7"/>
        <v/>
      </c>
      <c r="Q107" s="38" t="str">
        <f t="shared" si="7"/>
        <v/>
      </c>
      <c r="R107" s="38" t="str">
        <f t="shared" si="7"/>
        <v/>
      </c>
      <c r="S107" s="38" t="str">
        <f t="shared" si="7"/>
        <v/>
      </c>
      <c r="T107" s="101" t="str">
        <f t="shared" si="7"/>
        <v/>
      </c>
    </row>
    <row r="108" spans="1:20" ht="16.5" x14ac:dyDescent="0.3">
      <c r="A108"/>
      <c r="B108" s="106"/>
      <c r="C108" s="107"/>
      <c r="D108" s="107"/>
      <c r="E108" s="108"/>
      <c r="I108" s="102" t="str">
        <f t="shared" si="6"/>
        <v/>
      </c>
      <c r="J108" s="103" t="str">
        <f t="shared" si="7"/>
        <v/>
      </c>
      <c r="K108" s="103" t="str">
        <f t="shared" si="7"/>
        <v/>
      </c>
      <c r="L108" s="103" t="str">
        <f t="shared" si="7"/>
        <v/>
      </c>
      <c r="M108" s="103" t="str">
        <f t="shared" si="7"/>
        <v/>
      </c>
      <c r="N108" s="103" t="str">
        <f t="shared" si="7"/>
        <v/>
      </c>
      <c r="O108" s="103" t="str">
        <f t="shared" si="7"/>
        <v/>
      </c>
      <c r="P108" s="103" t="str">
        <f t="shared" si="7"/>
        <v/>
      </c>
      <c r="Q108" s="103" t="str">
        <f t="shared" si="7"/>
        <v/>
      </c>
      <c r="R108" s="103" t="str">
        <f t="shared" si="7"/>
        <v/>
      </c>
      <c r="S108" s="103" t="str">
        <f t="shared" si="7"/>
        <v/>
      </c>
      <c r="T108" s="104" t="str">
        <f t="shared" si="7"/>
        <v/>
      </c>
    </row>
    <row r="109" spans="1:20" ht="16.5" x14ac:dyDescent="0.3">
      <c r="B109"/>
      <c r="C109"/>
      <c r="D109"/>
      <c r="E109"/>
    </row>
    <row r="110" spans="1:20" ht="16.5" x14ac:dyDescent="0.3">
      <c r="B110"/>
      <c r="C110"/>
      <c r="D110"/>
      <c r="E110"/>
    </row>
    <row r="111" spans="1:20" ht="16.5" x14ac:dyDescent="0.3">
      <c r="B111"/>
      <c r="C111"/>
      <c r="D111"/>
      <c r="E111"/>
    </row>
    <row r="112" spans="1:20" ht="16.5" x14ac:dyDescent="0.3">
      <c r="B112"/>
      <c r="C112"/>
      <c r="D112"/>
      <c r="E112"/>
    </row>
    <row r="113" spans="2:5" ht="16.5" x14ac:dyDescent="0.3">
      <c r="B113"/>
      <c r="C113"/>
      <c r="D113"/>
      <c r="E113"/>
    </row>
    <row r="114" spans="2:5" ht="16.5" x14ac:dyDescent="0.3">
      <c r="B114"/>
      <c r="C114"/>
      <c r="D114"/>
      <c r="E114"/>
    </row>
    <row r="115" spans="2:5" ht="16.5" x14ac:dyDescent="0.3">
      <c r="B115"/>
      <c r="C115"/>
      <c r="D115"/>
      <c r="E115"/>
    </row>
    <row r="116" spans="2:5" ht="16.5" x14ac:dyDescent="0.3">
      <c r="B116"/>
      <c r="C116"/>
      <c r="D116"/>
      <c r="E116"/>
    </row>
    <row r="117" spans="2:5" ht="16.5" x14ac:dyDescent="0.3">
      <c r="B117"/>
      <c r="C117"/>
      <c r="D117"/>
      <c r="E117"/>
    </row>
    <row r="118" spans="2:5" ht="16.5" x14ac:dyDescent="0.3">
      <c r="B118"/>
      <c r="C118"/>
      <c r="D118"/>
      <c r="E118"/>
    </row>
    <row r="119" spans="2:5" ht="16.5" x14ac:dyDescent="0.3">
      <c r="B119"/>
      <c r="C119"/>
      <c r="D119"/>
      <c r="E119"/>
    </row>
    <row r="120" spans="2:5" ht="16.5" x14ac:dyDescent="0.3">
      <c r="B120"/>
      <c r="C120"/>
      <c r="D120"/>
      <c r="E120"/>
    </row>
    <row r="121" spans="2:5" ht="16.5" x14ac:dyDescent="0.3">
      <c r="B121"/>
      <c r="C121"/>
      <c r="D121"/>
      <c r="E121"/>
    </row>
    <row r="122" spans="2:5" ht="16.5" x14ac:dyDescent="0.3">
      <c r="B122"/>
      <c r="C122"/>
      <c r="D122"/>
      <c r="E122"/>
    </row>
    <row r="123" spans="2:5" ht="16.5" x14ac:dyDescent="0.3">
      <c r="B123"/>
      <c r="C123"/>
      <c r="D123"/>
      <c r="E123"/>
    </row>
    <row r="124" spans="2:5" ht="16.5" x14ac:dyDescent="0.3">
      <c r="B124"/>
      <c r="C124"/>
      <c r="D124"/>
      <c r="E124"/>
    </row>
    <row r="125" spans="2:5" ht="16.5" x14ac:dyDescent="0.3">
      <c r="B125"/>
      <c r="C125"/>
      <c r="D125"/>
      <c r="E125"/>
    </row>
    <row r="126" spans="2:5" ht="16.5" x14ac:dyDescent="0.3">
      <c r="B126"/>
      <c r="C126"/>
      <c r="D126"/>
      <c r="E126"/>
    </row>
    <row r="127" spans="2:5" ht="16.5" x14ac:dyDescent="0.3">
      <c r="B127"/>
      <c r="C127"/>
      <c r="D127"/>
      <c r="E127"/>
    </row>
    <row r="128" spans="2:5" ht="16.5" x14ac:dyDescent="0.3">
      <c r="B128"/>
      <c r="C128"/>
      <c r="D128"/>
      <c r="E128"/>
    </row>
    <row r="129" spans="2:5" ht="16.5" x14ac:dyDescent="0.3">
      <c r="B129"/>
      <c r="C129"/>
      <c r="D129"/>
      <c r="E129"/>
    </row>
    <row r="130" spans="2:5" ht="16.5" x14ac:dyDescent="0.3">
      <c r="B130"/>
      <c r="C130"/>
      <c r="D130"/>
      <c r="E130"/>
    </row>
    <row r="131" spans="2:5" ht="16.5" x14ac:dyDescent="0.3">
      <c r="B131"/>
      <c r="C131"/>
      <c r="D131"/>
      <c r="E131"/>
    </row>
    <row r="132" spans="2:5" ht="16.5" x14ac:dyDescent="0.3">
      <c r="B132"/>
      <c r="C132"/>
      <c r="D132"/>
      <c r="E132"/>
    </row>
    <row r="133" spans="2:5" ht="16.5" x14ac:dyDescent="0.3">
      <c r="B133"/>
      <c r="C133"/>
      <c r="D133"/>
      <c r="E133"/>
    </row>
    <row r="134" spans="2:5" ht="16.5" x14ac:dyDescent="0.3">
      <c r="B134"/>
      <c r="C134"/>
      <c r="D134"/>
      <c r="E134"/>
    </row>
    <row r="135" spans="2:5" ht="16.5" x14ac:dyDescent="0.3">
      <c r="B135"/>
      <c r="C135"/>
      <c r="D135"/>
      <c r="E135"/>
    </row>
    <row r="136" spans="2:5" ht="16.5" x14ac:dyDescent="0.3">
      <c r="B136"/>
      <c r="C136"/>
      <c r="D136"/>
      <c r="E136"/>
    </row>
    <row r="137" spans="2:5" ht="16.5" x14ac:dyDescent="0.3">
      <c r="B137"/>
      <c r="C137"/>
      <c r="D137"/>
      <c r="E137"/>
    </row>
    <row r="138" spans="2:5" ht="16.5" x14ac:dyDescent="0.3">
      <c r="B138"/>
      <c r="C138"/>
      <c r="D138"/>
      <c r="E138"/>
    </row>
    <row r="139" spans="2:5" ht="16.5" x14ac:dyDescent="0.3">
      <c r="B139"/>
      <c r="C139"/>
      <c r="D139"/>
      <c r="E139"/>
    </row>
    <row r="140" spans="2:5" ht="16.5" x14ac:dyDescent="0.3">
      <c r="B140"/>
      <c r="C140"/>
      <c r="D140"/>
      <c r="E140"/>
    </row>
    <row r="141" spans="2:5" ht="16.5" x14ac:dyDescent="0.3">
      <c r="B141"/>
      <c r="C141"/>
      <c r="D141"/>
      <c r="E141"/>
    </row>
    <row r="142" spans="2:5" ht="16.5" x14ac:dyDescent="0.3">
      <c r="B142"/>
      <c r="C142"/>
      <c r="D142"/>
      <c r="E142"/>
    </row>
    <row r="143" spans="2:5" ht="16.5" x14ac:dyDescent="0.3">
      <c r="B143"/>
      <c r="C143"/>
      <c r="D143"/>
      <c r="E143"/>
    </row>
    <row r="144" spans="2:5" ht="16.5" x14ac:dyDescent="0.3">
      <c r="B144"/>
      <c r="C144"/>
      <c r="D144"/>
      <c r="E144"/>
    </row>
    <row r="145" spans="2:5" ht="16.5" x14ac:dyDescent="0.3">
      <c r="B145"/>
      <c r="C145"/>
      <c r="D145"/>
      <c r="E145"/>
    </row>
    <row r="146" spans="2:5" ht="16.5" x14ac:dyDescent="0.3">
      <c r="B146"/>
      <c r="C146"/>
      <c r="D146"/>
      <c r="E146"/>
    </row>
    <row r="147" spans="2:5" ht="16.5" x14ac:dyDescent="0.3">
      <c r="B147"/>
      <c r="C147"/>
      <c r="D147"/>
      <c r="E147"/>
    </row>
    <row r="148" spans="2:5" ht="16.5" x14ac:dyDescent="0.3">
      <c r="B148"/>
      <c r="C148"/>
      <c r="D148"/>
      <c r="E148"/>
    </row>
    <row r="149" spans="2:5" ht="16.5" x14ac:dyDescent="0.3">
      <c r="B149"/>
      <c r="C149"/>
      <c r="D149"/>
      <c r="E149"/>
    </row>
    <row r="150" spans="2:5" ht="16.5" x14ac:dyDescent="0.3">
      <c r="B150"/>
      <c r="C150"/>
      <c r="D150"/>
      <c r="E150"/>
    </row>
    <row r="151" spans="2:5" ht="16.5" x14ac:dyDescent="0.3">
      <c r="B151"/>
      <c r="C151"/>
      <c r="D151"/>
      <c r="E151"/>
    </row>
    <row r="152" spans="2:5" ht="16.5" x14ac:dyDescent="0.3">
      <c r="B152"/>
      <c r="C152"/>
      <c r="D152"/>
      <c r="E152"/>
    </row>
    <row r="153" spans="2:5" ht="16.5" x14ac:dyDescent="0.3">
      <c r="B153"/>
      <c r="C153"/>
      <c r="D153"/>
      <c r="E153"/>
    </row>
    <row r="154" spans="2:5" ht="16.5" x14ac:dyDescent="0.3">
      <c r="B154"/>
      <c r="C154"/>
      <c r="D154"/>
      <c r="E154"/>
    </row>
    <row r="155" spans="2:5" ht="16.5" x14ac:dyDescent="0.3">
      <c r="B155"/>
      <c r="C155"/>
      <c r="D155"/>
      <c r="E155"/>
    </row>
    <row r="156" spans="2:5" ht="16.5" x14ac:dyDescent="0.3">
      <c r="B156"/>
      <c r="C156"/>
      <c r="D156"/>
      <c r="E156"/>
    </row>
    <row r="157" spans="2:5" ht="16.5" x14ac:dyDescent="0.3">
      <c r="B157"/>
      <c r="C157"/>
      <c r="D157"/>
      <c r="E157"/>
    </row>
    <row r="158" spans="2:5" ht="16.5" x14ac:dyDescent="0.3">
      <c r="B158"/>
      <c r="C158"/>
      <c r="D158"/>
      <c r="E158"/>
    </row>
    <row r="159" spans="2:5" ht="16.5" x14ac:dyDescent="0.3">
      <c r="B159"/>
      <c r="C159"/>
      <c r="D159"/>
      <c r="E159"/>
    </row>
    <row r="160" spans="2:5" ht="16.5" x14ac:dyDescent="0.3">
      <c r="B160"/>
      <c r="C160"/>
      <c r="D160"/>
      <c r="E160"/>
    </row>
    <row r="161" spans="2:5" ht="16.5" x14ac:dyDescent="0.3">
      <c r="B161"/>
      <c r="C161"/>
      <c r="D161"/>
      <c r="E161"/>
    </row>
    <row r="162" spans="2:5" ht="16.5" x14ac:dyDescent="0.3">
      <c r="B162"/>
      <c r="C162"/>
      <c r="D162"/>
      <c r="E162"/>
    </row>
    <row r="163" spans="2:5" ht="16.5" x14ac:dyDescent="0.3">
      <c r="B163"/>
      <c r="C163"/>
      <c r="D163"/>
      <c r="E163"/>
    </row>
    <row r="164" spans="2:5" ht="16.5" x14ac:dyDescent="0.3">
      <c r="B164"/>
      <c r="C164"/>
      <c r="D164"/>
      <c r="E164"/>
    </row>
    <row r="165" spans="2:5" ht="16.5" x14ac:dyDescent="0.3">
      <c r="B165"/>
      <c r="C165"/>
      <c r="D165"/>
      <c r="E165"/>
    </row>
    <row r="166" spans="2:5" ht="16.5" x14ac:dyDescent="0.3">
      <c r="B166"/>
      <c r="C166"/>
      <c r="D166"/>
      <c r="E166"/>
    </row>
    <row r="167" spans="2:5" ht="16.5" x14ac:dyDescent="0.3">
      <c r="B167"/>
      <c r="C167"/>
      <c r="D167"/>
      <c r="E167"/>
    </row>
    <row r="168" spans="2:5" ht="16.5" x14ac:dyDescent="0.3">
      <c r="B168"/>
      <c r="C168"/>
      <c r="D168"/>
      <c r="E168"/>
    </row>
    <row r="169" spans="2:5" ht="16.5" x14ac:dyDescent="0.3">
      <c r="B169"/>
      <c r="C169"/>
      <c r="D169"/>
      <c r="E169"/>
    </row>
    <row r="170" spans="2:5" ht="16.5" x14ac:dyDescent="0.3">
      <c r="B170"/>
      <c r="C170"/>
      <c r="D170"/>
      <c r="E170"/>
    </row>
    <row r="171" spans="2:5" ht="16.5" x14ac:dyDescent="0.3">
      <c r="B171"/>
      <c r="C171"/>
      <c r="D171"/>
      <c r="E171"/>
    </row>
    <row r="172" spans="2:5" ht="16.5" x14ac:dyDescent="0.3">
      <c r="B172"/>
      <c r="C172"/>
      <c r="D172"/>
      <c r="E172"/>
    </row>
    <row r="173" spans="2:5" ht="16.5" x14ac:dyDescent="0.3">
      <c r="B173"/>
      <c r="C173"/>
      <c r="D173"/>
      <c r="E173"/>
    </row>
    <row r="174" spans="2:5" ht="16.5" x14ac:dyDescent="0.3">
      <c r="B174"/>
      <c r="C174"/>
      <c r="D174"/>
      <c r="E174"/>
    </row>
    <row r="175" spans="2:5" ht="16.5" x14ac:dyDescent="0.3">
      <c r="B175"/>
      <c r="C175"/>
      <c r="D175"/>
      <c r="E175"/>
    </row>
    <row r="176" spans="2:5" ht="16.5" x14ac:dyDescent="0.3">
      <c r="B176"/>
      <c r="C176"/>
      <c r="D176"/>
      <c r="E176"/>
    </row>
    <row r="177" spans="2:5" ht="16.5" x14ac:dyDescent="0.3">
      <c r="B177"/>
      <c r="C177"/>
      <c r="D177"/>
      <c r="E177"/>
    </row>
    <row r="178" spans="2:5" ht="16.5" x14ac:dyDescent="0.3">
      <c r="B178"/>
      <c r="C178"/>
      <c r="D178"/>
      <c r="E178"/>
    </row>
    <row r="179" spans="2:5" ht="16.5" x14ac:dyDescent="0.3">
      <c r="B179"/>
      <c r="C179"/>
      <c r="D179"/>
      <c r="E179"/>
    </row>
    <row r="180" spans="2:5" ht="16.5" x14ac:dyDescent="0.3">
      <c r="B180"/>
      <c r="C180"/>
      <c r="D180"/>
      <c r="E180"/>
    </row>
    <row r="181" spans="2:5" ht="16.5" x14ac:dyDescent="0.3">
      <c r="B181"/>
      <c r="C181"/>
      <c r="D181"/>
      <c r="E181"/>
    </row>
    <row r="182" spans="2:5" ht="16.5" x14ac:dyDescent="0.3">
      <c r="B182"/>
      <c r="C182"/>
      <c r="D182"/>
      <c r="E182"/>
    </row>
    <row r="183" spans="2:5" ht="16.5" x14ac:dyDescent="0.3">
      <c r="B183"/>
      <c r="C183"/>
      <c r="D183"/>
      <c r="E183"/>
    </row>
    <row r="184" spans="2:5" ht="16.5" x14ac:dyDescent="0.3">
      <c r="B184"/>
      <c r="C184"/>
      <c r="D184"/>
      <c r="E184"/>
    </row>
    <row r="185" spans="2:5" ht="16.5" x14ac:dyDescent="0.3">
      <c r="B185"/>
      <c r="C185"/>
      <c r="D185"/>
      <c r="E185"/>
    </row>
    <row r="186" spans="2:5" ht="16.5" x14ac:dyDescent="0.3">
      <c r="B186"/>
      <c r="C186"/>
      <c r="D186"/>
      <c r="E186"/>
    </row>
    <row r="187" spans="2:5" ht="16.5" x14ac:dyDescent="0.3">
      <c r="B187"/>
      <c r="C187"/>
      <c r="D187"/>
      <c r="E187"/>
    </row>
    <row r="188" spans="2:5" ht="16.5" x14ac:dyDescent="0.3">
      <c r="B188"/>
      <c r="C188"/>
      <c r="D188"/>
      <c r="E188"/>
    </row>
    <row r="189" spans="2:5" ht="16.5" x14ac:dyDescent="0.3">
      <c r="B189"/>
      <c r="C189"/>
      <c r="D189"/>
      <c r="E189"/>
    </row>
    <row r="190" spans="2:5" ht="16.5" x14ac:dyDescent="0.3">
      <c r="B190"/>
      <c r="C190"/>
      <c r="D190"/>
      <c r="E190"/>
    </row>
    <row r="191" spans="2:5" ht="16.5" x14ac:dyDescent="0.3">
      <c r="B191"/>
      <c r="C191"/>
      <c r="D191"/>
      <c r="E191"/>
    </row>
    <row r="192" spans="2:5" ht="16.5" x14ac:dyDescent="0.3">
      <c r="B192"/>
      <c r="C192"/>
      <c r="D192"/>
      <c r="E192"/>
    </row>
    <row r="193" spans="2:5" ht="16.5" x14ac:dyDescent="0.3">
      <c r="B193"/>
      <c r="C193"/>
      <c r="D193"/>
      <c r="E193"/>
    </row>
    <row r="194" spans="2:5" ht="16.5" x14ac:dyDescent="0.3">
      <c r="B194"/>
      <c r="C194"/>
      <c r="D194"/>
      <c r="E194"/>
    </row>
    <row r="195" spans="2:5" ht="16.5" x14ac:dyDescent="0.3">
      <c r="B195"/>
      <c r="C195"/>
      <c r="D195"/>
      <c r="E195"/>
    </row>
    <row r="196" spans="2:5" ht="16.5" x14ac:dyDescent="0.3">
      <c r="B196"/>
      <c r="C196"/>
      <c r="D196"/>
      <c r="E196"/>
    </row>
    <row r="197" spans="2:5" ht="16.5" x14ac:dyDescent="0.3">
      <c r="B197"/>
      <c r="C197"/>
      <c r="D197"/>
      <c r="E197"/>
    </row>
    <row r="198" spans="2:5" ht="16.5" x14ac:dyDescent="0.3">
      <c r="B198"/>
      <c r="C198"/>
      <c r="D198"/>
      <c r="E198"/>
    </row>
    <row r="199" spans="2:5" ht="16.5" x14ac:dyDescent="0.3">
      <c r="B199"/>
      <c r="C199"/>
      <c r="D199"/>
      <c r="E199"/>
    </row>
    <row r="200" spans="2:5" ht="16.5" x14ac:dyDescent="0.3">
      <c r="B200"/>
      <c r="C200"/>
      <c r="D200"/>
      <c r="E200"/>
    </row>
    <row r="201" spans="2:5" ht="16.5" x14ac:dyDescent="0.3">
      <c r="B201"/>
      <c r="C201"/>
      <c r="D201"/>
      <c r="E201"/>
    </row>
    <row r="202" spans="2:5" ht="16.5" x14ac:dyDescent="0.3">
      <c r="B202"/>
      <c r="C202"/>
      <c r="D202"/>
      <c r="E202"/>
    </row>
    <row r="203" spans="2:5" ht="16.5" x14ac:dyDescent="0.3">
      <c r="B203"/>
      <c r="C203"/>
      <c r="D203"/>
      <c r="E203"/>
    </row>
    <row r="204" spans="2:5" ht="16.5" x14ac:dyDescent="0.3">
      <c r="B204"/>
      <c r="C204"/>
      <c r="D204"/>
      <c r="E204"/>
    </row>
    <row r="205" spans="2:5" ht="16.5" x14ac:dyDescent="0.3">
      <c r="B205"/>
      <c r="C205"/>
      <c r="D205"/>
      <c r="E205"/>
    </row>
    <row r="206" spans="2:5" ht="16.5" x14ac:dyDescent="0.3">
      <c r="B206"/>
      <c r="C206"/>
      <c r="D206"/>
      <c r="E206"/>
    </row>
    <row r="207" spans="2:5" ht="16.5" x14ac:dyDescent="0.3">
      <c r="B207"/>
      <c r="C207"/>
      <c r="D207"/>
      <c r="E207"/>
    </row>
    <row r="208" spans="2:5" ht="16.5" x14ac:dyDescent="0.3">
      <c r="B208"/>
      <c r="C208"/>
      <c r="D208"/>
      <c r="E208"/>
    </row>
    <row r="209" spans="2:5" ht="16.5" x14ac:dyDescent="0.3">
      <c r="B209"/>
      <c r="C209"/>
      <c r="D209"/>
      <c r="E209"/>
    </row>
    <row r="210" spans="2:5" ht="16.5" x14ac:dyDescent="0.3">
      <c r="B210"/>
      <c r="C210"/>
      <c r="D210"/>
      <c r="E210"/>
    </row>
    <row r="211" spans="2:5" ht="16.5" x14ac:dyDescent="0.3">
      <c r="B211"/>
      <c r="C211"/>
      <c r="D211"/>
      <c r="E211"/>
    </row>
    <row r="212" spans="2:5" ht="16.5" x14ac:dyDescent="0.3">
      <c r="B212"/>
      <c r="C212"/>
      <c r="D212"/>
      <c r="E212"/>
    </row>
    <row r="213" spans="2:5" ht="16.5" x14ac:dyDescent="0.3">
      <c r="B213"/>
      <c r="C213"/>
      <c r="D213"/>
      <c r="E213"/>
    </row>
    <row r="214" spans="2:5" ht="16.5" x14ac:dyDescent="0.3">
      <c r="B214"/>
      <c r="C214"/>
      <c r="D214"/>
      <c r="E214"/>
    </row>
    <row r="215" spans="2:5" ht="16.5" x14ac:dyDescent="0.3">
      <c r="B215"/>
      <c r="C215"/>
      <c r="D215"/>
      <c r="E215"/>
    </row>
    <row r="216" spans="2:5" ht="16.5" x14ac:dyDescent="0.3">
      <c r="B216"/>
      <c r="C216"/>
      <c r="D216"/>
      <c r="E216"/>
    </row>
    <row r="217" spans="2:5" ht="16.5" x14ac:dyDescent="0.3">
      <c r="B217"/>
      <c r="C217"/>
      <c r="D217"/>
      <c r="E217"/>
    </row>
    <row r="218" spans="2:5" ht="16.5" x14ac:dyDescent="0.3">
      <c r="B218"/>
      <c r="C218"/>
      <c r="D218"/>
      <c r="E218"/>
    </row>
    <row r="219" spans="2:5" ht="16.5" x14ac:dyDescent="0.3">
      <c r="B219"/>
      <c r="C219"/>
      <c r="D219"/>
      <c r="E219"/>
    </row>
    <row r="220" spans="2:5" ht="16.5" x14ac:dyDescent="0.3">
      <c r="B220"/>
      <c r="C220"/>
      <c r="D220"/>
      <c r="E220"/>
    </row>
    <row r="221" spans="2:5" ht="16.5" x14ac:dyDescent="0.3">
      <c r="B221"/>
      <c r="C221"/>
      <c r="D221"/>
      <c r="E221"/>
    </row>
    <row r="222" spans="2:5" ht="16.5" x14ac:dyDescent="0.3">
      <c r="B222"/>
      <c r="C222"/>
      <c r="D222"/>
      <c r="E222"/>
    </row>
    <row r="223" spans="2:5" ht="16.5" x14ac:dyDescent="0.3">
      <c r="B223"/>
      <c r="C223"/>
      <c r="D223"/>
      <c r="E223"/>
    </row>
    <row r="224" spans="2:5" ht="16.5" x14ac:dyDescent="0.3">
      <c r="B224"/>
      <c r="C224"/>
      <c r="D224"/>
      <c r="E224"/>
    </row>
    <row r="225" spans="2:5" ht="16.5" x14ac:dyDescent="0.3">
      <c r="B225"/>
      <c r="C225"/>
      <c r="D225"/>
      <c r="E225"/>
    </row>
    <row r="226" spans="2:5" ht="16.5" x14ac:dyDescent="0.3">
      <c r="B226"/>
      <c r="C226"/>
      <c r="D226"/>
      <c r="E226"/>
    </row>
    <row r="227" spans="2:5" ht="16.5" x14ac:dyDescent="0.3">
      <c r="B227"/>
      <c r="C227"/>
      <c r="D227"/>
      <c r="E227"/>
    </row>
    <row r="228" spans="2:5" ht="16.5" x14ac:dyDescent="0.3">
      <c r="B228"/>
      <c r="C228"/>
      <c r="D228"/>
      <c r="E228"/>
    </row>
    <row r="229" spans="2:5" ht="16.5" x14ac:dyDescent="0.3">
      <c r="B229"/>
      <c r="C229"/>
      <c r="D229"/>
      <c r="E229"/>
    </row>
    <row r="230" spans="2:5" ht="16.5" x14ac:dyDescent="0.3">
      <c r="B230"/>
      <c r="C230"/>
      <c r="D230"/>
      <c r="E230"/>
    </row>
    <row r="231" spans="2:5" ht="16.5" x14ac:dyDescent="0.3">
      <c r="B231"/>
      <c r="C231"/>
      <c r="D231"/>
      <c r="E231"/>
    </row>
    <row r="232" spans="2:5" ht="16.5" x14ac:dyDescent="0.3">
      <c r="B232"/>
      <c r="C232"/>
      <c r="D232"/>
      <c r="E232"/>
    </row>
    <row r="233" spans="2:5" ht="16.5" x14ac:dyDescent="0.3">
      <c r="B233"/>
      <c r="C233"/>
      <c r="D233"/>
      <c r="E233"/>
    </row>
    <row r="234" spans="2:5" ht="16.5" x14ac:dyDescent="0.3">
      <c r="B234"/>
      <c r="C234"/>
      <c r="D234"/>
      <c r="E234"/>
    </row>
    <row r="235" spans="2:5" ht="16.5" x14ac:dyDescent="0.3">
      <c r="B235"/>
      <c r="C235"/>
      <c r="D235"/>
      <c r="E235"/>
    </row>
    <row r="236" spans="2:5" ht="16.5" x14ac:dyDescent="0.3">
      <c r="B236"/>
      <c r="C236"/>
      <c r="D236"/>
      <c r="E236"/>
    </row>
    <row r="237" spans="2:5" ht="16.5" x14ac:dyDescent="0.3">
      <c r="B237"/>
      <c r="C237"/>
      <c r="D237"/>
      <c r="E237"/>
    </row>
    <row r="238" spans="2:5" ht="16.5" x14ac:dyDescent="0.3">
      <c r="B238"/>
      <c r="C238"/>
      <c r="D238"/>
      <c r="E238"/>
    </row>
    <row r="239" spans="2:5" ht="16.5" x14ac:dyDescent="0.3">
      <c r="B239"/>
      <c r="C239"/>
      <c r="D239"/>
      <c r="E239"/>
    </row>
    <row r="240" spans="2:5" ht="16.5" x14ac:dyDescent="0.3">
      <c r="B240"/>
      <c r="C240"/>
      <c r="D240"/>
      <c r="E240"/>
    </row>
    <row r="241" spans="2:5" ht="16.5" x14ac:dyDescent="0.3">
      <c r="B241"/>
      <c r="C241"/>
      <c r="D241"/>
      <c r="E241"/>
    </row>
    <row r="242" spans="2:5" ht="16.5" x14ac:dyDescent="0.3">
      <c r="B242"/>
      <c r="C242"/>
      <c r="D242"/>
      <c r="E242"/>
    </row>
    <row r="243" spans="2:5" ht="16.5" x14ac:dyDescent="0.3">
      <c r="B243"/>
      <c r="C243"/>
      <c r="D243"/>
      <c r="E243"/>
    </row>
    <row r="244" spans="2:5" ht="16.5" x14ac:dyDescent="0.3">
      <c r="B244"/>
      <c r="C244"/>
      <c r="D244"/>
      <c r="E244"/>
    </row>
    <row r="245" spans="2:5" ht="16.5" x14ac:dyDescent="0.3">
      <c r="B245"/>
      <c r="C245"/>
      <c r="D245"/>
      <c r="E245"/>
    </row>
    <row r="246" spans="2:5" ht="16.5" x14ac:dyDescent="0.3">
      <c r="B246"/>
      <c r="C246"/>
      <c r="D246"/>
      <c r="E246"/>
    </row>
    <row r="247" spans="2:5" ht="16.5" x14ac:dyDescent="0.3">
      <c r="B247"/>
      <c r="C247"/>
      <c r="D247"/>
      <c r="E247"/>
    </row>
    <row r="248" spans="2:5" ht="16.5" x14ac:dyDescent="0.3">
      <c r="B248"/>
      <c r="C248"/>
      <c r="D248"/>
      <c r="E248"/>
    </row>
    <row r="249" spans="2:5" ht="16.5" x14ac:dyDescent="0.3">
      <c r="B249"/>
      <c r="C249"/>
      <c r="D249"/>
      <c r="E249"/>
    </row>
    <row r="250" spans="2:5" ht="16.5" x14ac:dyDescent="0.3">
      <c r="B250"/>
      <c r="C250"/>
      <c r="D250"/>
      <c r="E250"/>
    </row>
    <row r="251" spans="2:5" ht="16.5" x14ac:dyDescent="0.3">
      <c r="B251"/>
      <c r="C251"/>
      <c r="D251"/>
      <c r="E251"/>
    </row>
    <row r="252" spans="2:5" ht="16.5" x14ac:dyDescent="0.3">
      <c r="B252"/>
      <c r="C252"/>
      <c r="D252"/>
      <c r="E252"/>
    </row>
    <row r="253" spans="2:5" ht="16.5" x14ac:dyDescent="0.3">
      <c r="B253"/>
      <c r="C253"/>
      <c r="D253"/>
      <c r="E253"/>
    </row>
    <row r="254" spans="2:5" ht="16.5" x14ac:dyDescent="0.3">
      <c r="B254"/>
      <c r="C254"/>
      <c r="D254"/>
      <c r="E254"/>
    </row>
    <row r="255" spans="2:5" ht="16.5" x14ac:dyDescent="0.3">
      <c r="B255"/>
      <c r="C255"/>
      <c r="D255"/>
      <c r="E255"/>
    </row>
    <row r="256" spans="2:5" ht="16.5" x14ac:dyDescent="0.3">
      <c r="B256"/>
      <c r="C256"/>
      <c r="D256"/>
      <c r="E256"/>
    </row>
    <row r="257" spans="2:5" ht="16.5" x14ac:dyDescent="0.3">
      <c r="B257"/>
      <c r="C257"/>
      <c r="D257"/>
      <c r="E257"/>
    </row>
    <row r="258" spans="2:5" ht="16.5" x14ac:dyDescent="0.3">
      <c r="B258"/>
      <c r="C258"/>
      <c r="D258"/>
      <c r="E258"/>
    </row>
    <row r="259" spans="2:5" ht="16.5" x14ac:dyDescent="0.3">
      <c r="B259"/>
      <c r="C259"/>
      <c r="D259"/>
      <c r="E259"/>
    </row>
    <row r="260" spans="2:5" ht="16.5" x14ac:dyDescent="0.3">
      <c r="B260"/>
      <c r="C260"/>
      <c r="D260"/>
      <c r="E260"/>
    </row>
    <row r="261" spans="2:5" ht="16.5" x14ac:dyDescent="0.3">
      <c r="B261"/>
      <c r="C261"/>
      <c r="D261"/>
      <c r="E261"/>
    </row>
    <row r="262" spans="2:5" ht="16.5" x14ac:dyDescent="0.3">
      <c r="B262"/>
      <c r="C262"/>
      <c r="D262"/>
      <c r="E262"/>
    </row>
    <row r="263" spans="2:5" ht="16.5" x14ac:dyDescent="0.3">
      <c r="B263"/>
      <c r="C263"/>
      <c r="D263"/>
      <c r="E263"/>
    </row>
    <row r="264" spans="2:5" ht="16.5" x14ac:dyDescent="0.3">
      <c r="B264"/>
      <c r="C264"/>
      <c r="D264"/>
      <c r="E264"/>
    </row>
    <row r="265" spans="2:5" ht="16.5" x14ac:dyDescent="0.3">
      <c r="B265"/>
      <c r="C265"/>
      <c r="D265"/>
      <c r="E265"/>
    </row>
    <row r="266" spans="2:5" ht="16.5" x14ac:dyDescent="0.3">
      <c r="B266"/>
      <c r="C266"/>
      <c r="D266"/>
      <c r="E266"/>
    </row>
    <row r="267" spans="2:5" ht="16.5" x14ac:dyDescent="0.3">
      <c r="B267"/>
      <c r="C267"/>
      <c r="D267"/>
      <c r="E267"/>
    </row>
    <row r="268" spans="2:5" ht="16.5" x14ac:dyDescent="0.3">
      <c r="B268"/>
      <c r="C268"/>
      <c r="D268"/>
      <c r="E268"/>
    </row>
    <row r="269" spans="2:5" ht="16.5" x14ac:dyDescent="0.3">
      <c r="B269"/>
      <c r="C269"/>
      <c r="D269"/>
      <c r="E269"/>
    </row>
    <row r="270" spans="2:5" ht="16.5" x14ac:dyDescent="0.3">
      <c r="B270"/>
      <c r="C270"/>
      <c r="D270"/>
      <c r="E270"/>
    </row>
    <row r="271" spans="2:5" ht="16.5" x14ac:dyDescent="0.3">
      <c r="B271"/>
      <c r="C271"/>
      <c r="D271"/>
      <c r="E271"/>
    </row>
    <row r="272" spans="2:5" ht="16.5" x14ac:dyDescent="0.3">
      <c r="B272"/>
      <c r="C272"/>
      <c r="D272"/>
      <c r="E272"/>
    </row>
    <row r="273" spans="2:5" ht="16.5" x14ac:dyDescent="0.3">
      <c r="B273"/>
      <c r="C273"/>
      <c r="D273"/>
      <c r="E273"/>
    </row>
    <row r="274" spans="2:5" ht="16.5" x14ac:dyDescent="0.3">
      <c r="B274"/>
      <c r="C274"/>
      <c r="D274"/>
      <c r="E274"/>
    </row>
    <row r="275" spans="2:5" ht="16.5" x14ac:dyDescent="0.3">
      <c r="B275"/>
      <c r="C275"/>
      <c r="D275"/>
      <c r="E275"/>
    </row>
    <row r="276" spans="2:5" ht="16.5" x14ac:dyDescent="0.3">
      <c r="B276"/>
      <c r="C276"/>
      <c r="D276"/>
      <c r="E276"/>
    </row>
    <row r="277" spans="2:5" ht="16.5" x14ac:dyDescent="0.3">
      <c r="B277"/>
      <c r="C277"/>
      <c r="D277"/>
      <c r="E277"/>
    </row>
    <row r="278" spans="2:5" ht="16.5" x14ac:dyDescent="0.3">
      <c r="B278"/>
      <c r="C278"/>
      <c r="D278"/>
      <c r="E278"/>
    </row>
    <row r="279" spans="2:5" ht="16.5" x14ac:dyDescent="0.3">
      <c r="B279"/>
      <c r="C279"/>
      <c r="D279"/>
      <c r="E279"/>
    </row>
    <row r="280" spans="2:5" ht="16.5" x14ac:dyDescent="0.3">
      <c r="B280"/>
      <c r="C280"/>
      <c r="D280"/>
      <c r="E280"/>
    </row>
    <row r="281" spans="2:5" ht="16.5" x14ac:dyDescent="0.3">
      <c r="B281"/>
      <c r="C281"/>
      <c r="D281"/>
      <c r="E281"/>
    </row>
    <row r="282" spans="2:5" ht="16.5" x14ac:dyDescent="0.3">
      <c r="B282"/>
      <c r="C282"/>
      <c r="D282"/>
      <c r="E282"/>
    </row>
    <row r="283" spans="2:5" ht="16.5" x14ac:dyDescent="0.3">
      <c r="B283"/>
      <c r="C283"/>
      <c r="D283"/>
      <c r="E283"/>
    </row>
    <row r="284" spans="2:5" ht="16.5" x14ac:dyDescent="0.3">
      <c r="B284"/>
      <c r="C284"/>
      <c r="D284"/>
      <c r="E284"/>
    </row>
    <row r="285" spans="2:5" ht="16.5" x14ac:dyDescent="0.3">
      <c r="B285"/>
      <c r="C285"/>
      <c r="D285"/>
      <c r="E285"/>
    </row>
    <row r="286" spans="2:5" ht="16.5" x14ac:dyDescent="0.3">
      <c r="B286"/>
      <c r="C286"/>
      <c r="D286"/>
      <c r="E286"/>
    </row>
    <row r="287" spans="2:5" ht="16.5" x14ac:dyDescent="0.3">
      <c r="B287"/>
      <c r="C287"/>
      <c r="D287"/>
      <c r="E287"/>
    </row>
    <row r="288" spans="2:5" ht="16.5" x14ac:dyDescent="0.3">
      <c r="B288"/>
      <c r="C288"/>
      <c r="D288"/>
      <c r="E288"/>
    </row>
    <row r="289" spans="2:5" ht="16.5" x14ac:dyDescent="0.3">
      <c r="B289"/>
      <c r="C289"/>
      <c r="D289"/>
      <c r="E289"/>
    </row>
    <row r="290" spans="2:5" ht="16.5" x14ac:dyDescent="0.3">
      <c r="B290"/>
      <c r="C290"/>
      <c r="D290"/>
      <c r="E290"/>
    </row>
    <row r="291" spans="2:5" ht="16.5" x14ac:dyDescent="0.3">
      <c r="B291"/>
      <c r="C291"/>
      <c r="D291"/>
      <c r="E291"/>
    </row>
    <row r="292" spans="2:5" ht="16.5" x14ac:dyDescent="0.3">
      <c r="B292"/>
      <c r="C292"/>
      <c r="D292"/>
      <c r="E292"/>
    </row>
    <row r="293" spans="2:5" ht="16.5" x14ac:dyDescent="0.3">
      <c r="B293"/>
      <c r="C293"/>
      <c r="D293"/>
      <c r="E293"/>
    </row>
    <row r="294" spans="2:5" ht="16.5" x14ac:dyDescent="0.3">
      <c r="B294"/>
      <c r="C294"/>
      <c r="D294"/>
      <c r="E294"/>
    </row>
    <row r="295" spans="2:5" ht="16.5" x14ac:dyDescent="0.3">
      <c r="B295"/>
      <c r="C295"/>
      <c r="D295"/>
      <c r="E295"/>
    </row>
    <row r="296" spans="2:5" ht="16.5" x14ac:dyDescent="0.3">
      <c r="B296"/>
      <c r="C296"/>
      <c r="D296"/>
      <c r="E296"/>
    </row>
    <row r="297" spans="2:5" ht="16.5" x14ac:dyDescent="0.3">
      <c r="B297"/>
      <c r="C297"/>
      <c r="D297"/>
      <c r="E297"/>
    </row>
    <row r="298" spans="2:5" ht="16.5" x14ac:dyDescent="0.3">
      <c r="B298"/>
      <c r="C298"/>
      <c r="D298"/>
      <c r="E298"/>
    </row>
    <row r="299" spans="2:5" ht="16.5" x14ac:dyDescent="0.3">
      <c r="B299"/>
      <c r="C299"/>
      <c r="D299"/>
      <c r="E299"/>
    </row>
    <row r="300" spans="2:5" ht="16.5" x14ac:dyDescent="0.3">
      <c r="B300"/>
      <c r="C300"/>
      <c r="D300"/>
      <c r="E300"/>
    </row>
    <row r="301" spans="2:5" ht="16.5" x14ac:dyDescent="0.3">
      <c r="B301"/>
      <c r="C301"/>
      <c r="D301"/>
      <c r="E301"/>
    </row>
    <row r="302" spans="2:5" ht="16.5" x14ac:dyDescent="0.3">
      <c r="B302"/>
      <c r="C302"/>
      <c r="D302"/>
      <c r="E302"/>
    </row>
    <row r="303" spans="2:5" ht="16.5" x14ac:dyDescent="0.3">
      <c r="B303"/>
      <c r="C303"/>
      <c r="D303"/>
      <c r="E303"/>
    </row>
    <row r="304" spans="2:5" ht="16.5" x14ac:dyDescent="0.3">
      <c r="B304"/>
      <c r="C304"/>
      <c r="D304"/>
      <c r="E304"/>
    </row>
    <row r="305" spans="2:5" ht="16.5" x14ac:dyDescent="0.3">
      <c r="B305"/>
      <c r="C305"/>
      <c r="D305"/>
      <c r="E305"/>
    </row>
    <row r="306" spans="2:5" ht="16.5" x14ac:dyDescent="0.3">
      <c r="B306"/>
      <c r="C306"/>
      <c r="D306"/>
      <c r="E306"/>
    </row>
    <row r="307" spans="2:5" ht="16.5" x14ac:dyDescent="0.3">
      <c r="B307"/>
      <c r="C307"/>
      <c r="D307"/>
      <c r="E307"/>
    </row>
    <row r="308" spans="2:5" ht="16.5" x14ac:dyDescent="0.3">
      <c r="B308"/>
      <c r="C308"/>
      <c r="D308"/>
      <c r="E308"/>
    </row>
    <row r="309" spans="2:5" ht="16.5" x14ac:dyDescent="0.3">
      <c r="B309"/>
      <c r="C309"/>
      <c r="D309"/>
      <c r="E309"/>
    </row>
    <row r="310" spans="2:5" ht="16.5" x14ac:dyDescent="0.3">
      <c r="B310"/>
      <c r="C310"/>
      <c r="D310"/>
      <c r="E310"/>
    </row>
    <row r="311" spans="2:5" ht="16.5" x14ac:dyDescent="0.3">
      <c r="B311"/>
      <c r="C311"/>
      <c r="D311"/>
      <c r="E311"/>
    </row>
    <row r="312" spans="2:5" ht="16.5" x14ac:dyDescent="0.3">
      <c r="B312"/>
      <c r="C312"/>
      <c r="D312"/>
      <c r="E312"/>
    </row>
    <row r="313" spans="2:5" ht="16.5" x14ac:dyDescent="0.3">
      <c r="B313"/>
      <c r="C313"/>
      <c r="D313"/>
      <c r="E313"/>
    </row>
    <row r="314" spans="2:5" ht="16.5" x14ac:dyDescent="0.3">
      <c r="B314"/>
      <c r="C314"/>
      <c r="D314"/>
      <c r="E314"/>
    </row>
    <row r="315" spans="2:5" ht="16.5" x14ac:dyDescent="0.3">
      <c r="B315"/>
      <c r="C315"/>
      <c r="D315"/>
      <c r="E315"/>
    </row>
    <row r="316" spans="2:5" ht="16.5" x14ac:dyDescent="0.3">
      <c r="B316"/>
      <c r="C316"/>
      <c r="D316"/>
      <c r="E316"/>
    </row>
    <row r="317" spans="2:5" ht="16.5" x14ac:dyDescent="0.3">
      <c r="B317"/>
      <c r="C317"/>
      <c r="D317"/>
      <c r="E317"/>
    </row>
    <row r="318" spans="2:5" ht="16.5" x14ac:dyDescent="0.3">
      <c r="B318"/>
      <c r="C318"/>
      <c r="D318"/>
      <c r="E318"/>
    </row>
    <row r="319" spans="2:5" ht="16.5" x14ac:dyDescent="0.3">
      <c r="B319"/>
      <c r="C319"/>
      <c r="D319"/>
      <c r="E319"/>
    </row>
    <row r="320" spans="2:5" ht="16.5" x14ac:dyDescent="0.3">
      <c r="B320"/>
      <c r="C320"/>
      <c r="D320"/>
      <c r="E320"/>
    </row>
    <row r="321" spans="2:5" ht="16.5" x14ac:dyDescent="0.3">
      <c r="B321"/>
      <c r="C321"/>
      <c r="D321"/>
      <c r="E321"/>
    </row>
    <row r="322" spans="2:5" ht="16.5" x14ac:dyDescent="0.3">
      <c r="B322"/>
      <c r="C322"/>
      <c r="D322"/>
      <c r="E322"/>
    </row>
    <row r="323" spans="2:5" ht="16.5" x14ac:dyDescent="0.3">
      <c r="B323"/>
      <c r="C323"/>
      <c r="D323"/>
      <c r="E323"/>
    </row>
    <row r="324" spans="2:5" ht="16.5" x14ac:dyDescent="0.3">
      <c r="B324"/>
      <c r="C324"/>
      <c r="D324"/>
      <c r="E324"/>
    </row>
    <row r="325" spans="2:5" ht="16.5" x14ac:dyDescent="0.3">
      <c r="B325"/>
      <c r="C325"/>
      <c r="D325"/>
      <c r="E325"/>
    </row>
    <row r="326" spans="2:5" ht="16.5" x14ac:dyDescent="0.3">
      <c r="B326"/>
      <c r="C326"/>
      <c r="D326"/>
      <c r="E326"/>
    </row>
    <row r="327" spans="2:5" ht="16.5" x14ac:dyDescent="0.3">
      <c r="B327"/>
      <c r="C327"/>
      <c r="D327"/>
      <c r="E327"/>
    </row>
    <row r="328" spans="2:5" ht="16.5" x14ac:dyDescent="0.3">
      <c r="B328"/>
      <c r="C328"/>
      <c r="D328"/>
      <c r="E328"/>
    </row>
    <row r="329" spans="2:5" ht="16.5" x14ac:dyDescent="0.3">
      <c r="B329"/>
      <c r="C329"/>
      <c r="D329"/>
      <c r="E329"/>
    </row>
    <row r="330" spans="2:5" ht="16.5" x14ac:dyDescent="0.3">
      <c r="B330"/>
      <c r="C330"/>
      <c r="D330"/>
      <c r="E330"/>
    </row>
    <row r="331" spans="2:5" ht="16.5" x14ac:dyDescent="0.3">
      <c r="B331"/>
      <c r="C331"/>
      <c r="D331"/>
      <c r="E331"/>
    </row>
    <row r="332" spans="2:5" ht="16.5" x14ac:dyDescent="0.3">
      <c r="B332"/>
      <c r="C332"/>
      <c r="D332"/>
      <c r="E332"/>
    </row>
    <row r="333" spans="2:5" ht="16.5" x14ac:dyDescent="0.3">
      <c r="B333"/>
      <c r="C333"/>
      <c r="D333"/>
      <c r="E333"/>
    </row>
    <row r="334" spans="2:5" ht="16.5" x14ac:dyDescent="0.3">
      <c r="B334"/>
      <c r="C334"/>
      <c r="D334"/>
      <c r="E334"/>
    </row>
    <row r="335" spans="2:5" ht="16.5" x14ac:dyDescent="0.3">
      <c r="B335"/>
      <c r="C335"/>
      <c r="D335"/>
      <c r="E335"/>
    </row>
    <row r="336" spans="2:5" ht="16.5" x14ac:dyDescent="0.3">
      <c r="B336"/>
      <c r="C336"/>
      <c r="D336"/>
      <c r="E336"/>
    </row>
    <row r="337" spans="2:5" ht="16.5" x14ac:dyDescent="0.3">
      <c r="B337"/>
      <c r="C337"/>
      <c r="D337"/>
      <c r="E337"/>
    </row>
    <row r="338" spans="2:5" ht="16.5" x14ac:dyDescent="0.3">
      <c r="B338"/>
      <c r="C338"/>
      <c r="D338"/>
      <c r="E338"/>
    </row>
    <row r="339" spans="2:5" ht="16.5" x14ac:dyDescent="0.3">
      <c r="B339"/>
      <c r="C339"/>
      <c r="D339"/>
      <c r="E339"/>
    </row>
    <row r="340" spans="2:5" ht="16.5" x14ac:dyDescent="0.3">
      <c r="B340"/>
      <c r="C340"/>
      <c r="D340"/>
      <c r="E340"/>
    </row>
    <row r="341" spans="2:5" ht="16.5" x14ac:dyDescent="0.3">
      <c r="B341"/>
      <c r="C341"/>
      <c r="D341"/>
      <c r="E341"/>
    </row>
    <row r="342" spans="2:5" ht="16.5" x14ac:dyDescent="0.3">
      <c r="B342"/>
      <c r="C342"/>
      <c r="D342"/>
      <c r="E342"/>
    </row>
    <row r="343" spans="2:5" ht="16.5" x14ac:dyDescent="0.3">
      <c r="B343"/>
      <c r="C343"/>
      <c r="D343"/>
      <c r="E343"/>
    </row>
    <row r="344" spans="2:5" ht="16.5" x14ac:dyDescent="0.3">
      <c r="B344"/>
      <c r="C344"/>
      <c r="D344"/>
      <c r="E344"/>
    </row>
    <row r="345" spans="2:5" ht="16.5" x14ac:dyDescent="0.3">
      <c r="B345"/>
      <c r="C345"/>
      <c r="D345"/>
      <c r="E345"/>
    </row>
    <row r="346" spans="2:5" ht="16.5" x14ac:dyDescent="0.3">
      <c r="B346"/>
      <c r="C346"/>
      <c r="D346"/>
      <c r="E346"/>
    </row>
    <row r="347" spans="2:5" ht="16.5" x14ac:dyDescent="0.3">
      <c r="B347"/>
      <c r="C347"/>
      <c r="D347"/>
      <c r="E347"/>
    </row>
    <row r="348" spans="2:5" ht="16.5" x14ac:dyDescent="0.3">
      <c r="B348"/>
      <c r="C348"/>
      <c r="D348"/>
      <c r="E348"/>
    </row>
    <row r="349" spans="2:5" ht="16.5" x14ac:dyDescent="0.3">
      <c r="B349"/>
      <c r="C349"/>
      <c r="D349"/>
      <c r="E349"/>
    </row>
    <row r="350" spans="2:5" ht="16.5" x14ac:dyDescent="0.3">
      <c r="B350"/>
      <c r="C350"/>
      <c r="D350"/>
      <c r="E350"/>
    </row>
    <row r="351" spans="2:5" ht="16.5" x14ac:dyDescent="0.3">
      <c r="B351"/>
      <c r="C351"/>
      <c r="D351"/>
      <c r="E351"/>
    </row>
    <row r="352" spans="2:5" ht="16.5" x14ac:dyDescent="0.3">
      <c r="B352"/>
      <c r="C352"/>
      <c r="D352"/>
      <c r="E352"/>
    </row>
    <row r="353" spans="2:5" ht="16.5" x14ac:dyDescent="0.3">
      <c r="B353"/>
      <c r="C353"/>
      <c r="D353"/>
      <c r="E353"/>
    </row>
    <row r="354" spans="2:5" ht="16.5" x14ac:dyDescent="0.3">
      <c r="B354"/>
      <c r="C354"/>
      <c r="D354"/>
      <c r="E354"/>
    </row>
    <row r="355" spans="2:5" ht="16.5" x14ac:dyDescent="0.3">
      <c r="B355"/>
      <c r="C355"/>
      <c r="D355"/>
      <c r="E355"/>
    </row>
    <row r="356" spans="2:5" ht="16.5" x14ac:dyDescent="0.3">
      <c r="B356"/>
      <c r="C356"/>
      <c r="D356"/>
      <c r="E356"/>
    </row>
    <row r="357" spans="2:5" ht="16.5" x14ac:dyDescent="0.3">
      <c r="B357"/>
      <c r="C357"/>
      <c r="D357"/>
      <c r="E357"/>
    </row>
    <row r="358" spans="2:5" ht="16.5" x14ac:dyDescent="0.3">
      <c r="B358"/>
      <c r="C358"/>
      <c r="D358"/>
      <c r="E358"/>
    </row>
    <row r="359" spans="2:5" ht="16.5" x14ac:dyDescent="0.3">
      <c r="B359"/>
      <c r="C359"/>
      <c r="D359"/>
      <c r="E359"/>
    </row>
    <row r="360" spans="2:5" ht="16.5" x14ac:dyDescent="0.3">
      <c r="B360"/>
      <c r="C360"/>
      <c r="D360"/>
      <c r="E360"/>
    </row>
    <row r="361" spans="2:5" ht="16.5" x14ac:dyDescent="0.3">
      <c r="B361"/>
      <c r="C361"/>
      <c r="D361"/>
      <c r="E361"/>
    </row>
    <row r="362" spans="2:5" ht="16.5" x14ac:dyDescent="0.3">
      <c r="B362"/>
      <c r="C362"/>
      <c r="D362"/>
      <c r="E362"/>
    </row>
    <row r="363" spans="2:5" ht="16.5" x14ac:dyDescent="0.3">
      <c r="B363"/>
      <c r="C363"/>
      <c r="D363"/>
      <c r="E363"/>
    </row>
    <row r="364" spans="2:5" ht="16.5" x14ac:dyDescent="0.3">
      <c r="B364"/>
      <c r="C364"/>
      <c r="D364"/>
      <c r="E364"/>
    </row>
    <row r="365" spans="2:5" ht="16.5" x14ac:dyDescent="0.3">
      <c r="B365"/>
      <c r="C365"/>
      <c r="D365"/>
      <c r="E365"/>
    </row>
    <row r="366" spans="2:5" ht="16.5" x14ac:dyDescent="0.3">
      <c r="B366"/>
      <c r="C366"/>
      <c r="D366"/>
      <c r="E366"/>
    </row>
    <row r="367" spans="2:5" ht="16.5" x14ac:dyDescent="0.3">
      <c r="B367"/>
      <c r="C367"/>
      <c r="D367"/>
      <c r="E367"/>
    </row>
    <row r="368" spans="2:5" ht="16.5" x14ac:dyDescent="0.3">
      <c r="B368"/>
      <c r="C368"/>
      <c r="D368"/>
      <c r="E368"/>
    </row>
    <row r="369" spans="2:5" ht="16.5" x14ac:dyDescent="0.3">
      <c r="B369"/>
      <c r="C369"/>
      <c r="D369"/>
      <c r="E369"/>
    </row>
    <row r="370" spans="2:5" ht="16.5" x14ac:dyDescent="0.3">
      <c r="B370"/>
      <c r="C370"/>
      <c r="D370"/>
      <c r="E370"/>
    </row>
    <row r="371" spans="2:5" ht="16.5" x14ac:dyDescent="0.3">
      <c r="B371"/>
      <c r="C371"/>
      <c r="D371"/>
      <c r="E371"/>
    </row>
    <row r="372" spans="2:5" ht="16.5" x14ac:dyDescent="0.3">
      <c r="B372"/>
      <c r="C372"/>
      <c r="D372"/>
      <c r="E372"/>
    </row>
    <row r="373" spans="2:5" ht="16.5" x14ac:dyDescent="0.3">
      <c r="B373"/>
      <c r="C373"/>
      <c r="D373"/>
      <c r="E373"/>
    </row>
    <row r="374" spans="2:5" ht="16.5" x14ac:dyDescent="0.3">
      <c r="B374"/>
      <c r="C374"/>
      <c r="D374"/>
      <c r="E374"/>
    </row>
    <row r="375" spans="2:5" ht="16.5" x14ac:dyDescent="0.3">
      <c r="B375"/>
      <c r="C375"/>
      <c r="D375"/>
      <c r="E375"/>
    </row>
    <row r="376" spans="2:5" ht="16.5" x14ac:dyDescent="0.3">
      <c r="B376"/>
      <c r="C376"/>
      <c r="D376"/>
      <c r="E376"/>
    </row>
    <row r="377" spans="2:5" ht="16.5" x14ac:dyDescent="0.3">
      <c r="B377"/>
      <c r="C377"/>
      <c r="D377"/>
      <c r="E377"/>
    </row>
    <row r="378" spans="2:5" ht="16.5" x14ac:dyDescent="0.3">
      <c r="B378"/>
      <c r="C378"/>
      <c r="D378"/>
      <c r="E378"/>
    </row>
    <row r="379" spans="2:5" ht="16.5" x14ac:dyDescent="0.3">
      <c r="B379"/>
      <c r="C379"/>
      <c r="D379"/>
      <c r="E379"/>
    </row>
    <row r="380" spans="2:5" ht="16.5" x14ac:dyDescent="0.3">
      <c r="B380"/>
      <c r="C380"/>
      <c r="D380"/>
      <c r="E380"/>
    </row>
    <row r="381" spans="2:5" ht="16.5" x14ac:dyDescent="0.3">
      <c r="B381"/>
      <c r="C381"/>
      <c r="D381"/>
      <c r="E381"/>
    </row>
    <row r="382" spans="2:5" ht="16.5" x14ac:dyDescent="0.3">
      <c r="B382"/>
      <c r="C382"/>
      <c r="D382"/>
      <c r="E382"/>
    </row>
    <row r="383" spans="2:5" ht="16.5" x14ac:dyDescent="0.3">
      <c r="B383"/>
      <c r="C383"/>
      <c r="D383"/>
      <c r="E383"/>
    </row>
    <row r="384" spans="2:5" ht="16.5" x14ac:dyDescent="0.3">
      <c r="B384"/>
      <c r="C384"/>
      <c r="D384"/>
      <c r="E384"/>
    </row>
    <row r="385" spans="2:5" ht="16.5" x14ac:dyDescent="0.3">
      <c r="B385"/>
      <c r="C385"/>
      <c r="D385"/>
      <c r="E385"/>
    </row>
    <row r="386" spans="2:5" ht="16.5" x14ac:dyDescent="0.3">
      <c r="B386"/>
      <c r="C386"/>
      <c r="D386"/>
      <c r="E386"/>
    </row>
    <row r="387" spans="2:5" ht="16.5" x14ac:dyDescent="0.3">
      <c r="B387"/>
      <c r="C387"/>
      <c r="D387"/>
      <c r="E387"/>
    </row>
    <row r="388" spans="2:5" ht="16.5" x14ac:dyDescent="0.3">
      <c r="B388"/>
      <c r="C388"/>
      <c r="D388"/>
      <c r="E388"/>
    </row>
    <row r="389" spans="2:5" ht="16.5" x14ac:dyDescent="0.3">
      <c r="B389"/>
      <c r="C389"/>
      <c r="D389"/>
      <c r="E389"/>
    </row>
    <row r="390" spans="2:5" ht="16.5" x14ac:dyDescent="0.3">
      <c r="B390"/>
      <c r="C390"/>
      <c r="D390"/>
      <c r="E390"/>
    </row>
    <row r="391" spans="2:5" ht="16.5" x14ac:dyDescent="0.3">
      <c r="B391"/>
      <c r="C391"/>
      <c r="D391"/>
      <c r="E391"/>
    </row>
    <row r="392" spans="2:5" ht="16.5" x14ac:dyDescent="0.3">
      <c r="B392"/>
      <c r="C392"/>
      <c r="D392"/>
      <c r="E392"/>
    </row>
    <row r="393" spans="2:5" ht="16.5" x14ac:dyDescent="0.3">
      <c r="B393"/>
      <c r="C393"/>
      <c r="D393"/>
      <c r="E393"/>
    </row>
    <row r="394" spans="2:5" ht="16.5" x14ac:dyDescent="0.3">
      <c r="B394"/>
      <c r="C394"/>
      <c r="D394"/>
      <c r="E394"/>
    </row>
    <row r="395" spans="2:5" ht="16.5" x14ac:dyDescent="0.3">
      <c r="B395"/>
      <c r="C395"/>
      <c r="D395"/>
      <c r="E395"/>
    </row>
    <row r="396" spans="2:5" ht="16.5" x14ac:dyDescent="0.3">
      <c r="B396"/>
      <c r="C396"/>
      <c r="D396"/>
      <c r="E396"/>
    </row>
    <row r="397" spans="2:5" ht="16.5" x14ac:dyDescent="0.3">
      <c r="B397"/>
      <c r="C397"/>
      <c r="D397"/>
      <c r="E397"/>
    </row>
    <row r="398" spans="2:5" ht="16.5" x14ac:dyDescent="0.3">
      <c r="B398"/>
      <c r="C398"/>
      <c r="D398"/>
      <c r="E398"/>
    </row>
    <row r="399" spans="2:5" ht="16.5" x14ac:dyDescent="0.3">
      <c r="B399"/>
      <c r="C399"/>
      <c r="D399"/>
      <c r="E399"/>
    </row>
    <row r="400" spans="2:5" ht="16.5" x14ac:dyDescent="0.3">
      <c r="B400"/>
      <c r="C400"/>
      <c r="D400"/>
      <c r="E400"/>
    </row>
    <row r="401" spans="2:5" ht="16.5" x14ac:dyDescent="0.3">
      <c r="B401"/>
      <c r="C401"/>
      <c r="D401"/>
      <c r="E401"/>
    </row>
    <row r="402" spans="2:5" ht="16.5" x14ac:dyDescent="0.3">
      <c r="B402"/>
      <c r="C402"/>
      <c r="D402"/>
      <c r="E402"/>
    </row>
    <row r="403" spans="2:5" ht="16.5" x14ac:dyDescent="0.3">
      <c r="B403"/>
      <c r="C403"/>
      <c r="D403"/>
      <c r="E403"/>
    </row>
    <row r="404" spans="2:5" ht="16.5" x14ac:dyDescent="0.3">
      <c r="B404"/>
      <c r="C404"/>
      <c r="D404"/>
      <c r="E404"/>
    </row>
    <row r="405" spans="2:5" ht="16.5" x14ac:dyDescent="0.3">
      <c r="B405"/>
      <c r="C405"/>
      <c r="D405"/>
      <c r="E405"/>
    </row>
    <row r="406" spans="2:5" ht="16.5" x14ac:dyDescent="0.3">
      <c r="B406"/>
      <c r="C406"/>
      <c r="D406"/>
      <c r="E406"/>
    </row>
    <row r="407" spans="2:5" ht="16.5" x14ac:dyDescent="0.3">
      <c r="B407"/>
      <c r="C407"/>
      <c r="D407"/>
      <c r="E407"/>
    </row>
    <row r="408" spans="2:5" ht="16.5" x14ac:dyDescent="0.3">
      <c r="B408"/>
      <c r="C408"/>
      <c r="D408"/>
      <c r="E408"/>
    </row>
    <row r="409" spans="2:5" ht="16.5" x14ac:dyDescent="0.3">
      <c r="B409"/>
      <c r="C409"/>
      <c r="D409"/>
      <c r="E409"/>
    </row>
    <row r="410" spans="2:5" ht="16.5" x14ac:dyDescent="0.3">
      <c r="B410"/>
      <c r="C410"/>
      <c r="D410"/>
      <c r="E410"/>
    </row>
    <row r="411" spans="2:5" ht="16.5" x14ac:dyDescent="0.3">
      <c r="B411"/>
      <c r="C411"/>
      <c r="D411"/>
      <c r="E411"/>
    </row>
    <row r="412" spans="2:5" ht="16.5" x14ac:dyDescent="0.3">
      <c r="B412"/>
      <c r="C412"/>
      <c r="D412"/>
      <c r="E412"/>
    </row>
    <row r="413" spans="2:5" ht="16.5" x14ac:dyDescent="0.3">
      <c r="B413"/>
      <c r="C413"/>
      <c r="D413"/>
      <c r="E413"/>
    </row>
    <row r="414" spans="2:5" ht="16.5" x14ac:dyDescent="0.3">
      <c r="B414"/>
      <c r="C414"/>
      <c r="D414"/>
      <c r="E414"/>
    </row>
    <row r="415" spans="2:5" ht="16.5" x14ac:dyDescent="0.3">
      <c r="B415"/>
      <c r="C415"/>
      <c r="D415"/>
      <c r="E415"/>
    </row>
    <row r="416" spans="2:5" ht="16.5" x14ac:dyDescent="0.3">
      <c r="B416"/>
      <c r="C416"/>
      <c r="D416"/>
      <c r="E416"/>
    </row>
    <row r="417" spans="2:5" ht="16.5" x14ac:dyDescent="0.3">
      <c r="B417"/>
      <c r="C417"/>
      <c r="D417"/>
      <c r="E417"/>
    </row>
    <row r="418" spans="2:5" ht="16.5" x14ac:dyDescent="0.3">
      <c r="B418"/>
      <c r="C418"/>
      <c r="D418"/>
      <c r="E418"/>
    </row>
    <row r="419" spans="2:5" ht="16.5" x14ac:dyDescent="0.3">
      <c r="B419"/>
      <c r="C419"/>
      <c r="D419"/>
      <c r="E419"/>
    </row>
    <row r="420" spans="2:5" ht="16.5" x14ac:dyDescent="0.3">
      <c r="B420"/>
      <c r="C420"/>
      <c r="D420"/>
      <c r="E420"/>
    </row>
    <row r="421" spans="2:5" ht="16.5" x14ac:dyDescent="0.3">
      <c r="B421"/>
      <c r="C421"/>
      <c r="D421"/>
      <c r="E421"/>
    </row>
    <row r="422" spans="2:5" ht="16.5" x14ac:dyDescent="0.3">
      <c r="B422"/>
      <c r="C422"/>
      <c r="D422"/>
      <c r="E422"/>
    </row>
    <row r="423" spans="2:5" ht="16.5" x14ac:dyDescent="0.3">
      <c r="B423"/>
      <c r="C423"/>
      <c r="D423"/>
      <c r="E423"/>
    </row>
    <row r="424" spans="2:5" ht="16.5" x14ac:dyDescent="0.3">
      <c r="B424"/>
      <c r="C424"/>
      <c r="D424"/>
      <c r="E424"/>
    </row>
    <row r="425" spans="2:5" ht="16.5" x14ac:dyDescent="0.3">
      <c r="B425"/>
      <c r="C425"/>
      <c r="D425"/>
      <c r="E425"/>
    </row>
    <row r="426" spans="2:5" ht="16.5" x14ac:dyDescent="0.3">
      <c r="B426"/>
      <c r="C426"/>
      <c r="D426"/>
      <c r="E426"/>
    </row>
    <row r="427" spans="2:5" ht="16.5" x14ac:dyDescent="0.3">
      <c r="B427"/>
      <c r="C427"/>
      <c r="D427"/>
      <c r="E427"/>
    </row>
    <row r="428" spans="2:5" ht="16.5" x14ac:dyDescent="0.3">
      <c r="B428"/>
      <c r="C428"/>
      <c r="D428"/>
      <c r="E428"/>
    </row>
    <row r="429" spans="2:5" ht="16.5" x14ac:dyDescent="0.3">
      <c r="B429"/>
      <c r="C429"/>
      <c r="D429"/>
      <c r="E429"/>
    </row>
    <row r="430" spans="2:5" ht="16.5" x14ac:dyDescent="0.3">
      <c r="B430"/>
      <c r="C430"/>
      <c r="D430"/>
      <c r="E430"/>
    </row>
    <row r="431" spans="2:5" ht="16.5" x14ac:dyDescent="0.3">
      <c r="B431"/>
      <c r="C431"/>
      <c r="D431"/>
      <c r="E431"/>
    </row>
    <row r="432" spans="2:5" ht="16.5" x14ac:dyDescent="0.3">
      <c r="B432"/>
      <c r="C432"/>
      <c r="D432"/>
      <c r="E432"/>
    </row>
    <row r="433" spans="2:5" ht="16.5" x14ac:dyDescent="0.3">
      <c r="B433"/>
      <c r="C433"/>
      <c r="D433"/>
      <c r="E433"/>
    </row>
    <row r="434" spans="2:5" ht="16.5" x14ac:dyDescent="0.3">
      <c r="B434"/>
      <c r="C434"/>
      <c r="D434"/>
      <c r="E434"/>
    </row>
    <row r="435" spans="2:5" ht="16.5" x14ac:dyDescent="0.3">
      <c r="B435"/>
      <c r="C435"/>
      <c r="D435"/>
      <c r="E435"/>
    </row>
    <row r="436" spans="2:5" ht="16.5" x14ac:dyDescent="0.3">
      <c r="B436"/>
      <c r="C436"/>
      <c r="D436"/>
      <c r="E436"/>
    </row>
    <row r="437" spans="2:5" ht="16.5" x14ac:dyDescent="0.3">
      <c r="B437"/>
      <c r="C437"/>
      <c r="D437"/>
      <c r="E437"/>
    </row>
    <row r="438" spans="2:5" ht="16.5" x14ac:dyDescent="0.3">
      <c r="B438"/>
      <c r="C438"/>
      <c r="D438"/>
      <c r="E438"/>
    </row>
    <row r="439" spans="2:5" ht="16.5" x14ac:dyDescent="0.3">
      <c r="B439"/>
      <c r="C439"/>
      <c r="D439"/>
      <c r="E439"/>
    </row>
    <row r="440" spans="2:5" ht="16.5" x14ac:dyDescent="0.3">
      <c r="B440"/>
      <c r="C440"/>
      <c r="D440"/>
      <c r="E440"/>
    </row>
    <row r="441" spans="2:5" ht="16.5" x14ac:dyDescent="0.3">
      <c r="B441"/>
      <c r="C441"/>
      <c r="D441"/>
      <c r="E441"/>
    </row>
    <row r="442" spans="2:5" ht="16.5" x14ac:dyDescent="0.3">
      <c r="B442"/>
      <c r="C442"/>
      <c r="D442"/>
      <c r="E442"/>
    </row>
    <row r="443" spans="2:5" ht="16.5" x14ac:dyDescent="0.3">
      <c r="B443"/>
      <c r="C443"/>
      <c r="D443"/>
      <c r="E443"/>
    </row>
    <row r="444" spans="2:5" ht="16.5" x14ac:dyDescent="0.3">
      <c r="B444"/>
      <c r="C444"/>
      <c r="D444"/>
      <c r="E444"/>
    </row>
    <row r="445" spans="2:5" ht="16.5" x14ac:dyDescent="0.3">
      <c r="B445"/>
      <c r="C445"/>
      <c r="D445"/>
      <c r="E445"/>
    </row>
    <row r="446" spans="2:5" ht="16.5" x14ac:dyDescent="0.3">
      <c r="B446"/>
      <c r="C446"/>
      <c r="D446"/>
      <c r="E446"/>
    </row>
    <row r="447" spans="2:5" ht="16.5" x14ac:dyDescent="0.3">
      <c r="B447"/>
      <c r="C447"/>
      <c r="D447"/>
      <c r="E447"/>
    </row>
    <row r="448" spans="2:5" ht="16.5" x14ac:dyDescent="0.3">
      <c r="B448"/>
      <c r="C448"/>
      <c r="D448"/>
      <c r="E448"/>
    </row>
    <row r="449" spans="2:5" ht="16.5" x14ac:dyDescent="0.3">
      <c r="B449"/>
      <c r="C449"/>
      <c r="D449"/>
      <c r="E449"/>
    </row>
    <row r="450" spans="2:5" ht="16.5" x14ac:dyDescent="0.3">
      <c r="B450"/>
      <c r="C450"/>
      <c r="D450"/>
      <c r="E450"/>
    </row>
    <row r="451" spans="2:5" ht="16.5" x14ac:dyDescent="0.3">
      <c r="B451"/>
      <c r="C451"/>
      <c r="D451"/>
      <c r="E451"/>
    </row>
    <row r="452" spans="2:5" ht="16.5" x14ac:dyDescent="0.3">
      <c r="B452"/>
      <c r="C452"/>
      <c r="D452"/>
      <c r="E452"/>
    </row>
    <row r="453" spans="2:5" ht="16.5" x14ac:dyDescent="0.3">
      <c r="B453"/>
      <c r="C453"/>
      <c r="D453"/>
      <c r="E453"/>
    </row>
    <row r="454" spans="2:5" ht="16.5" x14ac:dyDescent="0.3">
      <c r="B454"/>
      <c r="C454"/>
      <c r="D454"/>
      <c r="E454"/>
    </row>
    <row r="455" spans="2:5" ht="16.5" x14ac:dyDescent="0.3">
      <c r="B455"/>
      <c r="C455"/>
      <c r="D455"/>
      <c r="E455"/>
    </row>
    <row r="456" spans="2:5" ht="16.5" x14ac:dyDescent="0.3">
      <c r="B456"/>
      <c r="C456"/>
      <c r="D456"/>
      <c r="E456"/>
    </row>
    <row r="457" spans="2:5" ht="16.5" x14ac:dyDescent="0.3">
      <c r="B457"/>
      <c r="C457"/>
      <c r="D457"/>
      <c r="E457"/>
    </row>
    <row r="458" spans="2:5" ht="16.5" x14ac:dyDescent="0.3">
      <c r="B458"/>
      <c r="C458"/>
      <c r="D458"/>
      <c r="E458"/>
    </row>
    <row r="459" spans="2:5" ht="16.5" x14ac:dyDescent="0.3">
      <c r="B459"/>
      <c r="C459"/>
      <c r="D459"/>
      <c r="E459"/>
    </row>
    <row r="460" spans="2:5" ht="16.5" x14ac:dyDescent="0.3">
      <c r="B460"/>
      <c r="C460"/>
      <c r="D460"/>
      <c r="E460"/>
    </row>
    <row r="461" spans="2:5" ht="16.5" x14ac:dyDescent="0.3">
      <c r="B461"/>
      <c r="C461"/>
      <c r="D461"/>
      <c r="E461"/>
    </row>
    <row r="462" spans="2:5" ht="16.5" x14ac:dyDescent="0.3">
      <c r="B462"/>
      <c r="C462"/>
      <c r="D462"/>
      <c r="E462"/>
    </row>
    <row r="463" spans="2:5" ht="16.5" x14ac:dyDescent="0.3">
      <c r="B463"/>
      <c r="C463"/>
      <c r="D463"/>
      <c r="E463"/>
    </row>
    <row r="464" spans="2:5" ht="16.5" x14ac:dyDescent="0.3">
      <c r="B464"/>
      <c r="C464"/>
      <c r="D464"/>
      <c r="E464"/>
    </row>
    <row r="465" spans="2:5" ht="16.5" x14ac:dyDescent="0.3">
      <c r="B465"/>
      <c r="C465"/>
      <c r="D465"/>
      <c r="E465"/>
    </row>
    <row r="466" spans="2:5" ht="16.5" x14ac:dyDescent="0.3">
      <c r="B466"/>
      <c r="C466"/>
      <c r="D466"/>
      <c r="E466"/>
    </row>
    <row r="467" spans="2:5" ht="16.5" x14ac:dyDescent="0.3">
      <c r="B467"/>
      <c r="C467"/>
      <c r="D467"/>
      <c r="E467"/>
    </row>
    <row r="468" spans="2:5" ht="16.5" x14ac:dyDescent="0.3">
      <c r="B468"/>
      <c r="C468"/>
      <c r="D468"/>
      <c r="E468"/>
    </row>
    <row r="469" spans="2:5" ht="16.5" x14ac:dyDescent="0.3">
      <c r="B469"/>
      <c r="C469"/>
      <c r="D469"/>
      <c r="E469"/>
    </row>
    <row r="470" spans="2:5" ht="16.5" x14ac:dyDescent="0.3">
      <c r="B470"/>
      <c r="C470"/>
      <c r="D470"/>
      <c r="E470"/>
    </row>
    <row r="471" spans="2:5" ht="16.5" x14ac:dyDescent="0.3">
      <c r="B471"/>
      <c r="C471"/>
      <c r="D471"/>
      <c r="E471"/>
    </row>
    <row r="472" spans="2:5" ht="16.5" x14ac:dyDescent="0.3">
      <c r="B472"/>
      <c r="C472"/>
      <c r="D472"/>
      <c r="E472"/>
    </row>
    <row r="473" spans="2:5" ht="16.5" x14ac:dyDescent="0.3">
      <c r="B473"/>
      <c r="C473"/>
      <c r="D473"/>
      <c r="E473"/>
    </row>
    <row r="474" spans="2:5" ht="16.5" x14ac:dyDescent="0.3">
      <c r="B474"/>
      <c r="C474"/>
      <c r="D474"/>
      <c r="E474"/>
    </row>
    <row r="475" spans="2:5" ht="16.5" x14ac:dyDescent="0.3">
      <c r="B475"/>
      <c r="C475"/>
      <c r="D475"/>
      <c r="E475"/>
    </row>
    <row r="476" spans="2:5" ht="16.5" x14ac:dyDescent="0.3">
      <c r="B476"/>
      <c r="C476"/>
      <c r="D476"/>
      <c r="E476"/>
    </row>
    <row r="477" spans="2:5" ht="16.5" x14ac:dyDescent="0.3">
      <c r="B477"/>
      <c r="C477"/>
      <c r="D477"/>
      <c r="E477"/>
    </row>
    <row r="478" spans="2:5" ht="16.5" x14ac:dyDescent="0.3">
      <c r="B478"/>
      <c r="C478"/>
      <c r="D478"/>
      <c r="E478"/>
    </row>
    <row r="479" spans="2:5" ht="16.5" x14ac:dyDescent="0.3">
      <c r="B479"/>
      <c r="C479"/>
      <c r="D479"/>
      <c r="E479"/>
    </row>
    <row r="480" spans="2:5" ht="16.5" x14ac:dyDescent="0.3">
      <c r="B480"/>
      <c r="C480"/>
      <c r="D480"/>
      <c r="E480"/>
    </row>
    <row r="481" spans="2:5" ht="16.5" x14ac:dyDescent="0.3">
      <c r="B481"/>
      <c r="C481"/>
      <c r="D481"/>
      <c r="E481"/>
    </row>
    <row r="482" spans="2:5" ht="16.5" x14ac:dyDescent="0.3">
      <c r="B482"/>
      <c r="C482"/>
      <c r="D482"/>
      <c r="E482"/>
    </row>
    <row r="483" spans="2:5" ht="16.5" x14ac:dyDescent="0.3">
      <c r="B483"/>
      <c r="C483"/>
      <c r="D483"/>
      <c r="E483"/>
    </row>
    <row r="484" spans="2:5" ht="16.5" x14ac:dyDescent="0.3">
      <c r="B484"/>
      <c r="C484"/>
      <c r="D484"/>
      <c r="E484"/>
    </row>
    <row r="485" spans="2:5" ht="16.5" x14ac:dyDescent="0.3">
      <c r="B485"/>
      <c r="C485"/>
      <c r="D485"/>
      <c r="E485"/>
    </row>
    <row r="486" spans="2:5" ht="16.5" x14ac:dyDescent="0.3">
      <c r="B486"/>
      <c r="C486"/>
      <c r="D486"/>
      <c r="E486"/>
    </row>
    <row r="487" spans="2:5" ht="16.5" x14ac:dyDescent="0.3">
      <c r="B487"/>
      <c r="C487"/>
      <c r="D487"/>
      <c r="E487"/>
    </row>
    <row r="488" spans="2:5" ht="16.5" x14ac:dyDescent="0.3">
      <c r="B488"/>
      <c r="C488"/>
      <c r="D488"/>
      <c r="E488"/>
    </row>
    <row r="489" spans="2:5" ht="16.5" x14ac:dyDescent="0.3">
      <c r="B489"/>
      <c r="C489"/>
      <c r="D489"/>
      <c r="E489"/>
    </row>
    <row r="490" spans="2:5" ht="16.5" x14ac:dyDescent="0.3">
      <c r="B490"/>
      <c r="C490"/>
      <c r="D490"/>
      <c r="E490"/>
    </row>
    <row r="491" spans="2:5" ht="16.5" x14ac:dyDescent="0.3">
      <c r="B491"/>
      <c r="C491"/>
      <c r="D491"/>
      <c r="E491"/>
    </row>
    <row r="492" spans="2:5" ht="16.5" x14ac:dyDescent="0.3">
      <c r="B492"/>
      <c r="C492"/>
      <c r="D492"/>
      <c r="E492"/>
    </row>
    <row r="493" spans="2:5" ht="16.5" x14ac:dyDescent="0.3">
      <c r="B493"/>
      <c r="C493"/>
      <c r="D493"/>
      <c r="E493"/>
    </row>
    <row r="494" spans="2:5" ht="16.5" x14ac:dyDescent="0.3">
      <c r="B494"/>
      <c r="C494"/>
      <c r="D494"/>
      <c r="E494"/>
    </row>
    <row r="495" spans="2:5" ht="16.5" x14ac:dyDescent="0.3">
      <c r="B495"/>
      <c r="C495"/>
      <c r="D495"/>
      <c r="E495"/>
    </row>
    <row r="496" spans="2:5" ht="16.5" x14ac:dyDescent="0.3">
      <c r="B496"/>
      <c r="C496"/>
      <c r="D496"/>
      <c r="E496"/>
    </row>
    <row r="497" spans="2:5" ht="16.5" x14ac:dyDescent="0.3">
      <c r="B497"/>
      <c r="C497"/>
      <c r="D497"/>
      <c r="E497"/>
    </row>
    <row r="498" spans="2:5" ht="16.5" x14ac:dyDescent="0.3">
      <c r="B498"/>
      <c r="C498"/>
      <c r="D498"/>
      <c r="E498"/>
    </row>
    <row r="499" spans="2:5" ht="16.5" x14ac:dyDescent="0.3">
      <c r="B499"/>
      <c r="C499"/>
      <c r="D499"/>
      <c r="E499"/>
    </row>
    <row r="500" spans="2:5" ht="16.5" x14ac:dyDescent="0.3">
      <c r="B500"/>
      <c r="C500"/>
      <c r="D500"/>
      <c r="E500"/>
    </row>
    <row r="501" spans="2:5" ht="16.5" x14ac:dyDescent="0.3">
      <c r="B501"/>
      <c r="C501"/>
      <c r="D501"/>
      <c r="E501"/>
    </row>
    <row r="502" spans="2:5" ht="16.5" x14ac:dyDescent="0.3">
      <c r="B502"/>
      <c r="C502"/>
      <c r="D502"/>
      <c r="E502"/>
    </row>
    <row r="503" spans="2:5" ht="16.5" x14ac:dyDescent="0.3">
      <c r="B503"/>
      <c r="C503"/>
      <c r="D503"/>
      <c r="E503"/>
    </row>
    <row r="504" spans="2:5" ht="16.5" x14ac:dyDescent="0.3">
      <c r="B504"/>
      <c r="C504"/>
      <c r="D504"/>
      <c r="E504"/>
    </row>
    <row r="505" spans="2:5" ht="16.5" x14ac:dyDescent="0.3">
      <c r="B505"/>
      <c r="C505"/>
      <c r="D505"/>
      <c r="E505"/>
    </row>
    <row r="506" spans="2:5" ht="16.5" x14ac:dyDescent="0.3">
      <c r="B506"/>
      <c r="C506"/>
      <c r="D506"/>
      <c r="E506"/>
    </row>
    <row r="507" spans="2:5" ht="16.5" x14ac:dyDescent="0.3">
      <c r="B507"/>
      <c r="C507"/>
      <c r="D507"/>
      <c r="E507"/>
    </row>
    <row r="508" spans="2:5" ht="16.5" x14ac:dyDescent="0.3">
      <c r="B508"/>
      <c r="C508"/>
      <c r="D508"/>
      <c r="E508"/>
    </row>
    <row r="509" spans="2:5" ht="16.5" x14ac:dyDescent="0.3">
      <c r="B509"/>
      <c r="C509"/>
      <c r="D509"/>
      <c r="E509"/>
    </row>
    <row r="510" spans="2:5" ht="16.5" x14ac:dyDescent="0.3">
      <c r="B510"/>
      <c r="C510"/>
      <c r="D510"/>
      <c r="E510"/>
    </row>
    <row r="511" spans="2:5" ht="16.5" x14ac:dyDescent="0.3">
      <c r="B511"/>
      <c r="C511"/>
      <c r="D511"/>
      <c r="E511"/>
    </row>
    <row r="512" spans="2:5" ht="16.5" x14ac:dyDescent="0.3">
      <c r="B512"/>
      <c r="C512"/>
      <c r="D512"/>
      <c r="E512"/>
    </row>
    <row r="513" spans="2:5" ht="16.5" x14ac:dyDescent="0.3">
      <c r="B513"/>
      <c r="C513"/>
      <c r="D513"/>
      <c r="E513"/>
    </row>
    <row r="514" spans="2:5" ht="16.5" x14ac:dyDescent="0.3">
      <c r="B514"/>
      <c r="C514"/>
      <c r="D514"/>
      <c r="E514"/>
    </row>
    <row r="515" spans="2:5" ht="16.5" x14ac:dyDescent="0.3">
      <c r="B515"/>
      <c r="C515"/>
      <c r="D515"/>
      <c r="E515"/>
    </row>
    <row r="516" spans="2:5" ht="16.5" x14ac:dyDescent="0.3">
      <c r="B516"/>
      <c r="C516"/>
      <c r="D516"/>
      <c r="E516"/>
    </row>
    <row r="517" spans="2:5" ht="16.5" x14ac:dyDescent="0.3">
      <c r="B517"/>
      <c r="C517"/>
      <c r="D517"/>
      <c r="E517"/>
    </row>
    <row r="518" spans="2:5" ht="16.5" x14ac:dyDescent="0.3">
      <c r="B518"/>
      <c r="C518"/>
      <c r="D518"/>
      <c r="E518"/>
    </row>
    <row r="519" spans="2:5" ht="16.5" x14ac:dyDescent="0.3">
      <c r="B519"/>
      <c r="C519"/>
      <c r="D519"/>
      <c r="E519"/>
    </row>
    <row r="520" spans="2:5" ht="16.5" x14ac:dyDescent="0.3">
      <c r="B520"/>
      <c r="C520"/>
      <c r="D520"/>
      <c r="E520"/>
    </row>
    <row r="521" spans="2:5" ht="16.5" x14ac:dyDescent="0.3">
      <c r="B521"/>
      <c r="C521"/>
      <c r="D521"/>
      <c r="E521"/>
    </row>
    <row r="522" spans="2:5" ht="16.5" x14ac:dyDescent="0.3">
      <c r="B522"/>
      <c r="C522"/>
      <c r="D522"/>
      <c r="E522"/>
    </row>
    <row r="523" spans="2:5" ht="16.5" x14ac:dyDescent="0.3">
      <c r="B523"/>
      <c r="C523"/>
      <c r="D523"/>
      <c r="E523"/>
    </row>
    <row r="524" spans="2:5" ht="16.5" x14ac:dyDescent="0.3">
      <c r="B524"/>
      <c r="C524"/>
      <c r="D524"/>
      <c r="E524"/>
    </row>
    <row r="525" spans="2:5" ht="16.5" x14ac:dyDescent="0.3">
      <c r="B525"/>
      <c r="C525"/>
      <c r="D525"/>
      <c r="E525"/>
    </row>
    <row r="526" spans="2:5" ht="16.5" x14ac:dyDescent="0.3">
      <c r="B526"/>
      <c r="C526"/>
      <c r="D526"/>
      <c r="E526"/>
    </row>
    <row r="527" spans="2:5" ht="16.5" x14ac:dyDescent="0.3">
      <c r="B527"/>
      <c r="C527"/>
      <c r="D527"/>
      <c r="E527"/>
    </row>
    <row r="528" spans="2:5" ht="16.5" x14ac:dyDescent="0.3">
      <c r="B528"/>
      <c r="C528"/>
      <c r="D528"/>
      <c r="E528"/>
    </row>
    <row r="529" spans="2:5" ht="16.5" x14ac:dyDescent="0.3">
      <c r="B529"/>
      <c r="C529"/>
      <c r="D529"/>
      <c r="E529"/>
    </row>
    <row r="530" spans="2:5" ht="16.5" x14ac:dyDescent="0.3">
      <c r="B530"/>
      <c r="C530"/>
      <c r="D530"/>
      <c r="E530"/>
    </row>
    <row r="531" spans="2:5" ht="16.5" x14ac:dyDescent="0.3">
      <c r="B531"/>
      <c r="C531"/>
      <c r="D531"/>
      <c r="E531"/>
    </row>
    <row r="532" spans="2:5" ht="16.5" x14ac:dyDescent="0.3">
      <c r="B532"/>
      <c r="C532"/>
      <c r="D532"/>
      <c r="E532"/>
    </row>
    <row r="533" spans="2:5" ht="16.5" x14ac:dyDescent="0.3">
      <c r="B533"/>
      <c r="C533"/>
      <c r="D533"/>
      <c r="E533"/>
    </row>
    <row r="534" spans="2:5" ht="16.5" x14ac:dyDescent="0.3">
      <c r="B534"/>
      <c r="C534"/>
      <c r="D534"/>
      <c r="E534"/>
    </row>
    <row r="535" spans="2:5" ht="16.5" x14ac:dyDescent="0.3">
      <c r="B535"/>
      <c r="C535"/>
      <c r="D535"/>
      <c r="E535"/>
    </row>
    <row r="536" spans="2:5" ht="16.5" x14ac:dyDescent="0.3">
      <c r="B536"/>
      <c r="C536"/>
      <c r="D536"/>
      <c r="E536"/>
    </row>
    <row r="537" spans="2:5" ht="16.5" x14ac:dyDescent="0.3">
      <c r="B537"/>
      <c r="C537"/>
      <c r="D537"/>
      <c r="E537"/>
    </row>
    <row r="538" spans="2:5" ht="16.5" x14ac:dyDescent="0.3">
      <c r="B538"/>
      <c r="C538"/>
      <c r="D538"/>
      <c r="E538"/>
    </row>
    <row r="539" spans="2:5" ht="16.5" x14ac:dyDescent="0.3">
      <c r="B539"/>
      <c r="C539"/>
      <c r="D539"/>
      <c r="E539"/>
    </row>
    <row r="540" spans="2:5" ht="16.5" x14ac:dyDescent="0.3">
      <c r="B540"/>
      <c r="C540"/>
      <c r="D540"/>
      <c r="E540"/>
    </row>
    <row r="541" spans="2:5" ht="16.5" x14ac:dyDescent="0.3">
      <c r="B541"/>
      <c r="C541"/>
      <c r="D541"/>
      <c r="E541"/>
    </row>
    <row r="542" spans="2:5" ht="16.5" x14ac:dyDescent="0.3">
      <c r="B542"/>
      <c r="C542"/>
      <c r="D542"/>
      <c r="E542"/>
    </row>
    <row r="543" spans="2:5" ht="16.5" x14ac:dyDescent="0.3">
      <c r="B543"/>
      <c r="C543"/>
      <c r="D543"/>
      <c r="E543"/>
    </row>
    <row r="544" spans="2:5" ht="16.5" x14ac:dyDescent="0.3">
      <c r="B544"/>
      <c r="C544"/>
      <c r="D544"/>
      <c r="E544"/>
    </row>
    <row r="545" spans="2:5" ht="16.5" x14ac:dyDescent="0.3">
      <c r="B545"/>
      <c r="C545"/>
      <c r="D545"/>
      <c r="E545"/>
    </row>
    <row r="546" spans="2:5" ht="16.5" x14ac:dyDescent="0.3">
      <c r="B546"/>
      <c r="C546"/>
      <c r="D546"/>
      <c r="E546"/>
    </row>
    <row r="547" spans="2:5" ht="16.5" x14ac:dyDescent="0.3">
      <c r="B547"/>
      <c r="C547"/>
      <c r="D547"/>
      <c r="E547"/>
    </row>
    <row r="548" spans="2:5" ht="16.5" x14ac:dyDescent="0.3">
      <c r="B548"/>
      <c r="C548"/>
      <c r="D548"/>
      <c r="E548"/>
    </row>
    <row r="549" spans="2:5" ht="16.5" x14ac:dyDescent="0.3">
      <c r="B549"/>
      <c r="C549"/>
      <c r="D549"/>
      <c r="E549"/>
    </row>
    <row r="550" spans="2:5" ht="16.5" x14ac:dyDescent="0.3">
      <c r="B550"/>
      <c r="C550"/>
      <c r="D550"/>
      <c r="E550"/>
    </row>
    <row r="551" spans="2:5" ht="16.5" x14ac:dyDescent="0.3">
      <c r="B551"/>
      <c r="C551"/>
      <c r="D551"/>
      <c r="E551"/>
    </row>
    <row r="552" spans="2:5" ht="16.5" x14ac:dyDescent="0.3">
      <c r="B552"/>
      <c r="C552"/>
      <c r="D552"/>
      <c r="E552"/>
    </row>
    <row r="553" spans="2:5" ht="16.5" x14ac:dyDescent="0.3">
      <c r="B553"/>
      <c r="C553"/>
      <c r="D553"/>
      <c r="E553"/>
    </row>
    <row r="554" spans="2:5" ht="16.5" x14ac:dyDescent="0.3">
      <c r="B554"/>
      <c r="C554"/>
      <c r="D554"/>
      <c r="E554"/>
    </row>
    <row r="555" spans="2:5" ht="16.5" x14ac:dyDescent="0.3">
      <c r="B555"/>
      <c r="C555"/>
      <c r="D555"/>
      <c r="E555"/>
    </row>
    <row r="556" spans="2:5" ht="16.5" x14ac:dyDescent="0.3">
      <c r="B556"/>
      <c r="C556"/>
      <c r="D556"/>
      <c r="E556"/>
    </row>
    <row r="557" spans="2:5" ht="16.5" x14ac:dyDescent="0.3">
      <c r="B557"/>
      <c r="C557"/>
      <c r="D557"/>
      <c r="E557"/>
    </row>
    <row r="558" spans="2:5" ht="16.5" x14ac:dyDescent="0.3">
      <c r="B558"/>
      <c r="C558"/>
      <c r="D558"/>
      <c r="E558"/>
    </row>
    <row r="559" spans="2:5" ht="16.5" x14ac:dyDescent="0.3">
      <c r="B559"/>
      <c r="C559"/>
      <c r="D559"/>
      <c r="E559"/>
    </row>
    <row r="560" spans="2:5" ht="16.5" x14ac:dyDescent="0.3">
      <c r="B560"/>
      <c r="C560"/>
      <c r="D560"/>
      <c r="E560"/>
    </row>
    <row r="561" spans="2:5" ht="16.5" x14ac:dyDescent="0.3">
      <c r="B561"/>
      <c r="C561"/>
      <c r="D561"/>
      <c r="E561"/>
    </row>
    <row r="562" spans="2:5" ht="16.5" x14ac:dyDescent="0.3">
      <c r="B562"/>
      <c r="C562"/>
      <c r="D562"/>
      <c r="E562"/>
    </row>
    <row r="563" spans="2:5" ht="16.5" x14ac:dyDescent="0.3">
      <c r="B563"/>
      <c r="C563"/>
      <c r="D563"/>
      <c r="E563"/>
    </row>
    <row r="564" spans="2:5" ht="16.5" x14ac:dyDescent="0.3">
      <c r="B564"/>
      <c r="C564"/>
      <c r="D564"/>
      <c r="E564"/>
    </row>
    <row r="565" spans="2:5" ht="16.5" x14ac:dyDescent="0.3">
      <c r="B565"/>
      <c r="C565"/>
      <c r="D565"/>
      <c r="E565"/>
    </row>
    <row r="566" spans="2:5" ht="16.5" x14ac:dyDescent="0.3">
      <c r="B566"/>
      <c r="C566"/>
      <c r="D566"/>
      <c r="E566"/>
    </row>
    <row r="567" spans="2:5" ht="16.5" x14ac:dyDescent="0.3">
      <c r="B567"/>
      <c r="C567"/>
      <c r="D567"/>
      <c r="E567"/>
    </row>
    <row r="568" spans="2:5" ht="16.5" x14ac:dyDescent="0.3">
      <c r="B568"/>
      <c r="C568"/>
      <c r="D568"/>
      <c r="E568"/>
    </row>
    <row r="569" spans="2:5" ht="16.5" x14ac:dyDescent="0.3">
      <c r="B569"/>
      <c r="C569"/>
      <c r="D569"/>
      <c r="E569"/>
    </row>
    <row r="570" spans="2:5" ht="16.5" x14ac:dyDescent="0.3">
      <c r="B570"/>
      <c r="C570"/>
      <c r="D570"/>
      <c r="E570"/>
    </row>
    <row r="571" spans="2:5" ht="16.5" x14ac:dyDescent="0.3">
      <c r="B571"/>
      <c r="C571"/>
      <c r="D571"/>
      <c r="E571"/>
    </row>
    <row r="572" spans="2:5" ht="16.5" x14ac:dyDescent="0.3">
      <c r="B572"/>
      <c r="C572"/>
      <c r="D572"/>
      <c r="E572"/>
    </row>
    <row r="573" spans="2:5" ht="16.5" x14ac:dyDescent="0.3">
      <c r="B573"/>
      <c r="C573"/>
      <c r="D573"/>
      <c r="E573"/>
    </row>
    <row r="574" spans="2:5" ht="16.5" x14ac:dyDescent="0.3">
      <c r="B574"/>
      <c r="C574"/>
      <c r="D574"/>
      <c r="E574"/>
    </row>
    <row r="575" spans="2:5" ht="16.5" x14ac:dyDescent="0.3">
      <c r="B575"/>
      <c r="C575"/>
      <c r="D575"/>
      <c r="E575"/>
    </row>
    <row r="576" spans="2:5" ht="16.5" x14ac:dyDescent="0.3">
      <c r="B576"/>
      <c r="C576"/>
      <c r="D576"/>
      <c r="E576"/>
    </row>
    <row r="577" spans="2:5" ht="16.5" x14ac:dyDescent="0.3">
      <c r="B577"/>
      <c r="C577"/>
      <c r="D577"/>
      <c r="E577"/>
    </row>
    <row r="578" spans="2:5" ht="16.5" x14ac:dyDescent="0.3">
      <c r="B578"/>
      <c r="C578"/>
      <c r="D578"/>
      <c r="E578"/>
    </row>
    <row r="579" spans="2:5" ht="16.5" x14ac:dyDescent="0.3">
      <c r="B579"/>
      <c r="C579"/>
      <c r="D579"/>
      <c r="E579"/>
    </row>
    <row r="580" spans="2:5" ht="16.5" x14ac:dyDescent="0.3">
      <c r="B580"/>
      <c r="C580"/>
      <c r="D580"/>
      <c r="E580"/>
    </row>
    <row r="581" spans="2:5" ht="16.5" x14ac:dyDescent="0.3">
      <c r="B581"/>
      <c r="C581"/>
      <c r="D581"/>
      <c r="E581"/>
    </row>
    <row r="582" spans="2:5" ht="16.5" x14ac:dyDescent="0.3">
      <c r="B582"/>
      <c r="C582"/>
      <c r="D582"/>
      <c r="E582"/>
    </row>
    <row r="583" spans="2:5" ht="16.5" x14ac:dyDescent="0.3">
      <c r="B583"/>
      <c r="C583"/>
      <c r="D583"/>
      <c r="E583"/>
    </row>
    <row r="584" spans="2:5" ht="16.5" x14ac:dyDescent="0.3">
      <c r="B584"/>
      <c r="C584"/>
      <c r="D584"/>
      <c r="E584"/>
    </row>
    <row r="585" spans="2:5" ht="16.5" x14ac:dyDescent="0.3">
      <c r="B585"/>
      <c r="C585"/>
      <c r="D585"/>
      <c r="E585"/>
    </row>
    <row r="586" spans="2:5" ht="16.5" x14ac:dyDescent="0.3">
      <c r="B586"/>
      <c r="C586"/>
      <c r="D586"/>
      <c r="E586"/>
    </row>
    <row r="587" spans="2:5" ht="16.5" x14ac:dyDescent="0.3">
      <c r="B587"/>
      <c r="C587"/>
      <c r="D587"/>
      <c r="E587"/>
    </row>
    <row r="588" spans="2:5" ht="16.5" x14ac:dyDescent="0.3">
      <c r="B588"/>
      <c r="C588"/>
      <c r="D588"/>
      <c r="E588"/>
    </row>
    <row r="589" spans="2:5" ht="16.5" x14ac:dyDescent="0.3">
      <c r="B589"/>
      <c r="C589"/>
      <c r="D589"/>
      <c r="E589"/>
    </row>
    <row r="590" spans="2:5" ht="16.5" x14ac:dyDescent="0.3">
      <c r="B590"/>
      <c r="C590"/>
      <c r="D590"/>
      <c r="E590"/>
    </row>
    <row r="591" spans="2:5" ht="16.5" x14ac:dyDescent="0.3">
      <c r="B591"/>
      <c r="C591"/>
      <c r="D591"/>
      <c r="E591"/>
    </row>
    <row r="592" spans="2:5" ht="16.5" x14ac:dyDescent="0.3">
      <c r="B592"/>
      <c r="C592"/>
      <c r="D592"/>
      <c r="E592"/>
    </row>
    <row r="593" spans="2:5" ht="16.5" x14ac:dyDescent="0.3">
      <c r="B593"/>
      <c r="C593"/>
      <c r="D593"/>
      <c r="E593"/>
    </row>
    <row r="594" spans="2:5" ht="16.5" x14ac:dyDescent="0.3">
      <c r="B594"/>
      <c r="C594"/>
      <c r="D594"/>
      <c r="E594"/>
    </row>
    <row r="595" spans="2:5" ht="16.5" x14ac:dyDescent="0.3">
      <c r="B595"/>
      <c r="C595"/>
      <c r="D595"/>
      <c r="E595"/>
    </row>
    <row r="596" spans="2:5" ht="16.5" x14ac:dyDescent="0.3">
      <c r="B596"/>
      <c r="C596"/>
      <c r="D596"/>
      <c r="E596"/>
    </row>
    <row r="597" spans="2:5" ht="16.5" x14ac:dyDescent="0.3">
      <c r="B597"/>
      <c r="C597"/>
      <c r="D597"/>
      <c r="E597"/>
    </row>
    <row r="598" spans="2:5" ht="16.5" x14ac:dyDescent="0.3">
      <c r="B598"/>
      <c r="C598"/>
      <c r="D598"/>
      <c r="E598"/>
    </row>
    <row r="599" spans="2:5" ht="16.5" x14ac:dyDescent="0.3">
      <c r="B599"/>
      <c r="C599"/>
      <c r="D599"/>
      <c r="E599"/>
    </row>
    <row r="600" spans="2:5" ht="16.5" x14ac:dyDescent="0.3">
      <c r="B600"/>
      <c r="C600"/>
      <c r="D600"/>
      <c r="E600"/>
    </row>
    <row r="601" spans="2:5" ht="16.5" x14ac:dyDescent="0.3">
      <c r="B601"/>
      <c r="C601"/>
      <c r="D601"/>
      <c r="E601"/>
    </row>
    <row r="602" spans="2:5" ht="16.5" x14ac:dyDescent="0.3">
      <c r="B602"/>
      <c r="C602"/>
      <c r="D602"/>
      <c r="E602"/>
    </row>
    <row r="603" spans="2:5" ht="16.5" x14ac:dyDescent="0.3">
      <c r="B603"/>
      <c r="C603"/>
      <c r="D603"/>
      <c r="E603"/>
    </row>
    <row r="604" spans="2:5" ht="16.5" x14ac:dyDescent="0.3">
      <c r="B604"/>
      <c r="C604"/>
      <c r="D604"/>
      <c r="E604"/>
    </row>
    <row r="605" spans="2:5" ht="16.5" x14ac:dyDescent="0.3">
      <c r="B605"/>
      <c r="C605"/>
      <c r="D605"/>
      <c r="E605"/>
    </row>
    <row r="606" spans="2:5" ht="16.5" x14ac:dyDescent="0.3">
      <c r="B606"/>
      <c r="C606"/>
      <c r="D606"/>
      <c r="E606"/>
    </row>
    <row r="607" spans="2:5" ht="16.5" x14ac:dyDescent="0.3">
      <c r="B607"/>
      <c r="C607"/>
      <c r="D607"/>
      <c r="E607"/>
    </row>
    <row r="608" spans="2:5" ht="16.5" x14ac:dyDescent="0.3">
      <c r="B608"/>
      <c r="C608"/>
      <c r="D608"/>
      <c r="E608"/>
    </row>
    <row r="609" spans="2:5" ht="16.5" x14ac:dyDescent="0.3">
      <c r="B609"/>
      <c r="C609"/>
      <c r="D609"/>
      <c r="E609"/>
    </row>
    <row r="610" spans="2:5" ht="16.5" x14ac:dyDescent="0.3">
      <c r="B610"/>
      <c r="C610"/>
      <c r="D610"/>
      <c r="E610"/>
    </row>
    <row r="611" spans="2:5" ht="16.5" x14ac:dyDescent="0.3">
      <c r="B611"/>
      <c r="C611"/>
      <c r="D611"/>
      <c r="E611"/>
    </row>
    <row r="612" spans="2:5" ht="16.5" x14ac:dyDescent="0.3">
      <c r="B612"/>
      <c r="C612"/>
      <c r="D612"/>
      <c r="E612"/>
    </row>
    <row r="613" spans="2:5" ht="16.5" x14ac:dyDescent="0.3">
      <c r="B613"/>
      <c r="C613"/>
      <c r="D613"/>
      <c r="E613"/>
    </row>
    <row r="614" spans="2:5" ht="16.5" x14ac:dyDescent="0.3">
      <c r="B614"/>
      <c r="C614"/>
      <c r="D614"/>
      <c r="E614"/>
    </row>
    <row r="615" spans="2:5" ht="16.5" x14ac:dyDescent="0.3">
      <c r="B615"/>
      <c r="C615"/>
      <c r="D615"/>
      <c r="E615"/>
    </row>
    <row r="616" spans="2:5" ht="16.5" x14ac:dyDescent="0.3">
      <c r="B616"/>
      <c r="C616"/>
      <c r="D616"/>
      <c r="E616"/>
    </row>
    <row r="617" spans="2:5" ht="16.5" x14ac:dyDescent="0.3">
      <c r="B617"/>
      <c r="C617"/>
      <c r="D617"/>
      <c r="E617"/>
    </row>
    <row r="618" spans="2:5" ht="16.5" x14ac:dyDescent="0.3">
      <c r="B618"/>
      <c r="C618"/>
      <c r="D618"/>
      <c r="E618"/>
    </row>
    <row r="619" spans="2:5" ht="16.5" x14ac:dyDescent="0.3">
      <c r="B619"/>
      <c r="C619"/>
      <c r="D619"/>
      <c r="E619"/>
    </row>
    <row r="620" spans="2:5" ht="16.5" x14ac:dyDescent="0.3">
      <c r="B620"/>
      <c r="C620"/>
      <c r="D620"/>
      <c r="E620"/>
    </row>
    <row r="621" spans="2:5" ht="16.5" x14ac:dyDescent="0.3">
      <c r="B621"/>
      <c r="C621"/>
      <c r="D621"/>
      <c r="E621"/>
    </row>
    <row r="622" spans="2:5" ht="16.5" x14ac:dyDescent="0.3">
      <c r="B622"/>
      <c r="C622"/>
      <c r="D622"/>
      <c r="E622"/>
    </row>
    <row r="623" spans="2:5" ht="16.5" x14ac:dyDescent="0.3">
      <c r="B623"/>
      <c r="C623"/>
      <c r="D623"/>
      <c r="E623"/>
    </row>
    <row r="624" spans="2:5" ht="16.5" x14ac:dyDescent="0.3">
      <c r="B624"/>
      <c r="C624"/>
      <c r="D624"/>
      <c r="E624"/>
    </row>
    <row r="625" spans="2:5" ht="16.5" x14ac:dyDescent="0.3">
      <c r="B625"/>
      <c r="C625"/>
      <c r="D625"/>
      <c r="E625"/>
    </row>
    <row r="626" spans="2:5" ht="16.5" x14ac:dyDescent="0.3">
      <c r="B626"/>
      <c r="C626"/>
      <c r="D626"/>
      <c r="E626"/>
    </row>
    <row r="627" spans="2:5" ht="16.5" x14ac:dyDescent="0.3">
      <c r="B627"/>
      <c r="C627"/>
      <c r="D627"/>
      <c r="E627"/>
    </row>
    <row r="628" spans="2:5" ht="16.5" x14ac:dyDescent="0.3">
      <c r="B628"/>
      <c r="C628"/>
      <c r="D628"/>
      <c r="E628"/>
    </row>
    <row r="629" spans="2:5" ht="16.5" x14ac:dyDescent="0.3">
      <c r="B629"/>
      <c r="C629"/>
      <c r="D629"/>
      <c r="E629"/>
    </row>
    <row r="630" spans="2:5" ht="16.5" x14ac:dyDescent="0.3">
      <c r="B630"/>
      <c r="C630"/>
      <c r="D630"/>
      <c r="E630"/>
    </row>
    <row r="631" spans="2:5" ht="16.5" x14ac:dyDescent="0.3">
      <c r="B631"/>
      <c r="C631"/>
      <c r="D631"/>
      <c r="E631"/>
    </row>
    <row r="632" spans="2:5" ht="16.5" x14ac:dyDescent="0.3">
      <c r="B632"/>
      <c r="C632"/>
      <c r="D632"/>
      <c r="E632"/>
    </row>
    <row r="633" spans="2:5" ht="16.5" x14ac:dyDescent="0.3">
      <c r="B633"/>
      <c r="C633"/>
      <c r="D633"/>
      <c r="E633"/>
    </row>
    <row r="634" spans="2:5" ht="16.5" x14ac:dyDescent="0.3">
      <c r="B634"/>
      <c r="C634"/>
      <c r="D634"/>
      <c r="E634"/>
    </row>
    <row r="635" spans="2:5" ht="16.5" x14ac:dyDescent="0.3">
      <c r="B635"/>
      <c r="C635"/>
      <c r="D635"/>
      <c r="E635"/>
    </row>
    <row r="636" spans="2:5" ht="16.5" x14ac:dyDescent="0.3">
      <c r="B636"/>
      <c r="C636"/>
      <c r="D636"/>
      <c r="E636"/>
    </row>
    <row r="637" spans="2:5" ht="16.5" x14ac:dyDescent="0.3">
      <c r="B637"/>
      <c r="C637"/>
      <c r="D637"/>
      <c r="E637"/>
    </row>
    <row r="638" spans="2:5" ht="16.5" x14ac:dyDescent="0.3">
      <c r="B638"/>
      <c r="C638"/>
      <c r="D638"/>
      <c r="E638"/>
    </row>
    <row r="639" spans="2:5" ht="16.5" x14ac:dyDescent="0.3">
      <c r="B639"/>
      <c r="C639"/>
      <c r="D639"/>
      <c r="E639"/>
    </row>
    <row r="640" spans="2:5" ht="16.5" x14ac:dyDescent="0.3">
      <c r="B640"/>
      <c r="C640"/>
      <c r="D640"/>
      <c r="E640"/>
    </row>
    <row r="641" spans="2:5" ht="16.5" x14ac:dyDescent="0.3">
      <c r="B641"/>
      <c r="C641"/>
      <c r="D641"/>
      <c r="E641"/>
    </row>
    <row r="642" spans="2:5" ht="16.5" x14ac:dyDescent="0.3">
      <c r="B642"/>
      <c r="C642"/>
      <c r="D642"/>
      <c r="E642"/>
    </row>
    <row r="643" spans="2:5" ht="16.5" x14ac:dyDescent="0.3">
      <c r="B643"/>
      <c r="C643"/>
      <c r="D643"/>
      <c r="E643"/>
    </row>
    <row r="644" spans="2:5" ht="16.5" x14ac:dyDescent="0.3">
      <c r="B644"/>
      <c r="C644"/>
      <c r="D644"/>
      <c r="E644"/>
    </row>
    <row r="645" spans="2:5" ht="16.5" x14ac:dyDescent="0.3">
      <c r="B645"/>
      <c r="C645"/>
      <c r="D645"/>
      <c r="E645"/>
    </row>
    <row r="646" spans="2:5" ht="16.5" x14ac:dyDescent="0.3">
      <c r="B646"/>
      <c r="C646"/>
      <c r="D646"/>
      <c r="E646"/>
    </row>
    <row r="647" spans="2:5" ht="16.5" x14ac:dyDescent="0.3">
      <c r="B647"/>
      <c r="C647"/>
      <c r="D647"/>
      <c r="E647"/>
    </row>
    <row r="648" spans="2:5" ht="16.5" x14ac:dyDescent="0.3">
      <c r="B648"/>
      <c r="C648"/>
      <c r="D648"/>
      <c r="E648"/>
    </row>
    <row r="649" spans="2:5" ht="16.5" x14ac:dyDescent="0.3">
      <c r="B649"/>
      <c r="C649"/>
      <c r="D649"/>
      <c r="E649"/>
    </row>
    <row r="650" spans="2:5" ht="16.5" x14ac:dyDescent="0.3">
      <c r="B650"/>
      <c r="C650"/>
      <c r="D650"/>
      <c r="E650"/>
    </row>
    <row r="651" spans="2:5" ht="16.5" x14ac:dyDescent="0.3">
      <c r="B651"/>
      <c r="C651"/>
      <c r="D651"/>
      <c r="E651"/>
    </row>
    <row r="652" spans="2:5" ht="16.5" x14ac:dyDescent="0.3">
      <c r="B652"/>
      <c r="C652"/>
      <c r="D652"/>
      <c r="E652"/>
    </row>
    <row r="653" spans="2:5" ht="16.5" x14ac:dyDescent="0.3">
      <c r="B653"/>
      <c r="C653"/>
      <c r="D653"/>
      <c r="E653"/>
    </row>
    <row r="654" spans="2:5" ht="16.5" x14ac:dyDescent="0.3">
      <c r="B654"/>
      <c r="C654"/>
      <c r="D654"/>
      <c r="E654"/>
    </row>
    <row r="655" spans="2:5" ht="16.5" x14ac:dyDescent="0.3">
      <c r="B655"/>
      <c r="C655"/>
      <c r="D655"/>
      <c r="E655"/>
    </row>
    <row r="656" spans="2:5" ht="16.5" x14ac:dyDescent="0.3">
      <c r="B656"/>
      <c r="C656"/>
      <c r="D656"/>
      <c r="E656"/>
    </row>
    <row r="657" spans="2:5" ht="16.5" x14ac:dyDescent="0.3">
      <c r="B657"/>
      <c r="C657"/>
      <c r="D657"/>
      <c r="E657"/>
    </row>
    <row r="658" spans="2:5" ht="16.5" x14ac:dyDescent="0.3">
      <c r="B658"/>
      <c r="C658"/>
      <c r="D658"/>
      <c r="E658"/>
    </row>
    <row r="659" spans="2:5" ht="16.5" x14ac:dyDescent="0.3">
      <c r="B659"/>
      <c r="C659"/>
      <c r="D659"/>
      <c r="E659"/>
    </row>
    <row r="660" spans="2:5" ht="16.5" x14ac:dyDescent="0.3">
      <c r="B660"/>
      <c r="C660"/>
      <c r="D660"/>
      <c r="E660"/>
    </row>
    <row r="661" spans="2:5" ht="16.5" x14ac:dyDescent="0.3">
      <c r="B661"/>
      <c r="C661"/>
      <c r="D661"/>
      <c r="E661"/>
    </row>
    <row r="662" spans="2:5" ht="16.5" x14ac:dyDescent="0.3">
      <c r="B662"/>
      <c r="C662"/>
      <c r="D662"/>
      <c r="E662"/>
    </row>
    <row r="663" spans="2:5" ht="16.5" x14ac:dyDescent="0.3">
      <c r="B663"/>
      <c r="C663"/>
      <c r="D663"/>
      <c r="E663"/>
    </row>
    <row r="664" spans="2:5" ht="16.5" x14ac:dyDescent="0.3">
      <c r="B664"/>
      <c r="C664"/>
      <c r="D664"/>
      <c r="E664"/>
    </row>
    <row r="665" spans="2:5" ht="16.5" x14ac:dyDescent="0.3">
      <c r="B665"/>
      <c r="C665"/>
      <c r="D665"/>
      <c r="E665"/>
    </row>
    <row r="666" spans="2:5" ht="16.5" x14ac:dyDescent="0.3">
      <c r="B666"/>
      <c r="C666"/>
      <c r="D666"/>
      <c r="E666"/>
    </row>
    <row r="667" spans="2:5" ht="16.5" x14ac:dyDescent="0.3">
      <c r="B667"/>
      <c r="C667"/>
      <c r="D667"/>
      <c r="E667"/>
    </row>
    <row r="668" spans="2:5" ht="16.5" x14ac:dyDescent="0.3">
      <c r="B668"/>
      <c r="C668"/>
      <c r="D668"/>
      <c r="E668"/>
    </row>
    <row r="669" spans="2:5" ht="16.5" x14ac:dyDescent="0.3">
      <c r="B669"/>
      <c r="C669"/>
      <c r="D669"/>
      <c r="E669"/>
    </row>
    <row r="670" spans="2:5" ht="16.5" x14ac:dyDescent="0.3">
      <c r="B670"/>
      <c r="C670"/>
      <c r="D670"/>
      <c r="E670"/>
    </row>
    <row r="671" spans="2:5" ht="16.5" x14ac:dyDescent="0.3">
      <c r="B671"/>
      <c r="C671"/>
      <c r="D671"/>
      <c r="E671"/>
    </row>
    <row r="672" spans="2:5" ht="16.5" x14ac:dyDescent="0.3">
      <c r="B672"/>
      <c r="C672"/>
      <c r="D672"/>
      <c r="E672"/>
    </row>
    <row r="673" spans="2:5" ht="16.5" x14ac:dyDescent="0.3">
      <c r="B673"/>
      <c r="C673"/>
      <c r="D673"/>
      <c r="E673"/>
    </row>
    <row r="674" spans="2:5" ht="16.5" x14ac:dyDescent="0.3">
      <c r="B674"/>
      <c r="C674"/>
      <c r="D674"/>
      <c r="E674"/>
    </row>
    <row r="675" spans="2:5" ht="16.5" x14ac:dyDescent="0.3">
      <c r="B675"/>
      <c r="C675"/>
      <c r="D675"/>
      <c r="E675"/>
    </row>
    <row r="676" spans="2:5" ht="16.5" x14ac:dyDescent="0.3">
      <c r="B676"/>
      <c r="C676"/>
      <c r="D676"/>
      <c r="E676"/>
    </row>
    <row r="677" spans="2:5" ht="16.5" x14ac:dyDescent="0.3">
      <c r="B677"/>
      <c r="C677"/>
      <c r="D677"/>
      <c r="E677"/>
    </row>
    <row r="678" spans="2:5" ht="16.5" x14ac:dyDescent="0.3">
      <c r="B678"/>
      <c r="C678"/>
      <c r="D678"/>
      <c r="E678"/>
    </row>
    <row r="679" spans="2:5" ht="16.5" x14ac:dyDescent="0.3">
      <c r="B679"/>
      <c r="C679"/>
      <c r="D679"/>
      <c r="E679"/>
    </row>
    <row r="680" spans="2:5" ht="16.5" x14ac:dyDescent="0.3">
      <c r="B680"/>
      <c r="C680"/>
      <c r="D680"/>
      <c r="E680"/>
    </row>
    <row r="681" spans="2:5" ht="16.5" x14ac:dyDescent="0.3">
      <c r="B681"/>
      <c r="C681"/>
      <c r="D681"/>
      <c r="E681"/>
    </row>
    <row r="682" spans="2:5" ht="16.5" x14ac:dyDescent="0.3">
      <c r="B682"/>
      <c r="C682"/>
      <c r="D682"/>
      <c r="E682"/>
    </row>
    <row r="683" spans="2:5" ht="16.5" x14ac:dyDescent="0.3">
      <c r="B683"/>
      <c r="C683"/>
      <c r="D683"/>
      <c r="E683"/>
    </row>
    <row r="684" spans="2:5" ht="16.5" x14ac:dyDescent="0.3">
      <c r="B684"/>
      <c r="C684"/>
      <c r="D684"/>
      <c r="E684"/>
    </row>
    <row r="685" spans="2:5" ht="16.5" x14ac:dyDescent="0.3">
      <c r="B685"/>
      <c r="C685"/>
      <c r="D685"/>
      <c r="E685"/>
    </row>
    <row r="686" spans="2:5" ht="16.5" x14ac:dyDescent="0.3">
      <c r="B686"/>
      <c r="C686"/>
      <c r="D686"/>
      <c r="E686"/>
    </row>
    <row r="687" spans="2:5" ht="16.5" x14ac:dyDescent="0.3">
      <c r="B687"/>
      <c r="C687"/>
      <c r="D687"/>
      <c r="E687"/>
    </row>
    <row r="688" spans="2:5" ht="16.5" x14ac:dyDescent="0.3">
      <c r="B688"/>
      <c r="C688"/>
      <c r="D688"/>
      <c r="E688"/>
    </row>
    <row r="689" spans="2:5" ht="16.5" x14ac:dyDescent="0.3">
      <c r="B689"/>
      <c r="C689"/>
      <c r="D689"/>
      <c r="E689"/>
    </row>
    <row r="690" spans="2:5" ht="16.5" x14ac:dyDescent="0.3">
      <c r="B690"/>
      <c r="C690"/>
      <c r="D690"/>
      <c r="E690"/>
    </row>
    <row r="691" spans="2:5" ht="16.5" x14ac:dyDescent="0.3">
      <c r="B691"/>
      <c r="C691"/>
      <c r="D691"/>
      <c r="E691"/>
    </row>
    <row r="692" spans="2:5" ht="16.5" x14ac:dyDescent="0.3">
      <c r="B692"/>
      <c r="C692"/>
      <c r="D692"/>
      <c r="E692"/>
    </row>
    <row r="693" spans="2:5" ht="16.5" x14ac:dyDescent="0.3">
      <c r="B693"/>
      <c r="C693"/>
      <c r="D693"/>
      <c r="E693"/>
    </row>
    <row r="694" spans="2:5" ht="16.5" x14ac:dyDescent="0.3">
      <c r="B694"/>
      <c r="C694"/>
      <c r="D694"/>
      <c r="E694"/>
    </row>
    <row r="695" spans="2:5" ht="16.5" x14ac:dyDescent="0.3">
      <c r="B695"/>
      <c r="C695"/>
      <c r="D695"/>
      <c r="E695"/>
    </row>
    <row r="696" spans="2:5" ht="16.5" x14ac:dyDescent="0.3">
      <c r="B696"/>
      <c r="C696"/>
      <c r="D696"/>
      <c r="E696"/>
    </row>
    <row r="697" spans="2:5" ht="16.5" x14ac:dyDescent="0.3">
      <c r="B697"/>
      <c r="C697"/>
      <c r="D697"/>
      <c r="E697"/>
    </row>
    <row r="698" spans="2:5" ht="16.5" x14ac:dyDescent="0.3">
      <c r="B698"/>
      <c r="C698"/>
      <c r="D698"/>
      <c r="E698"/>
    </row>
    <row r="699" spans="2:5" ht="16.5" x14ac:dyDescent="0.3">
      <c r="B699"/>
      <c r="C699"/>
      <c r="D699"/>
      <c r="E699"/>
    </row>
    <row r="700" spans="2:5" ht="16.5" x14ac:dyDescent="0.3">
      <c r="B700"/>
      <c r="C700"/>
      <c r="D700"/>
      <c r="E700"/>
    </row>
    <row r="701" spans="2:5" ht="16.5" x14ac:dyDescent="0.3">
      <c r="B701"/>
      <c r="C701"/>
      <c r="D701"/>
      <c r="E701"/>
    </row>
    <row r="702" spans="2:5" ht="16.5" x14ac:dyDescent="0.3">
      <c r="B702"/>
      <c r="C702"/>
      <c r="D702"/>
      <c r="E702"/>
    </row>
    <row r="703" spans="2:5" ht="16.5" x14ac:dyDescent="0.3">
      <c r="B703"/>
      <c r="C703"/>
      <c r="D703"/>
      <c r="E703"/>
    </row>
    <row r="704" spans="2:5" ht="16.5" x14ac:dyDescent="0.3">
      <c r="B704"/>
      <c r="C704"/>
      <c r="D704"/>
      <c r="E704"/>
    </row>
    <row r="705" spans="2:5" ht="16.5" x14ac:dyDescent="0.3">
      <c r="B705"/>
      <c r="C705"/>
      <c r="D705"/>
      <c r="E705"/>
    </row>
    <row r="706" spans="2:5" ht="16.5" x14ac:dyDescent="0.3">
      <c r="B706"/>
      <c r="C706"/>
      <c r="D706"/>
      <c r="E706"/>
    </row>
    <row r="707" spans="2:5" ht="16.5" x14ac:dyDescent="0.3">
      <c r="B707"/>
      <c r="C707"/>
      <c r="D707"/>
      <c r="E707"/>
    </row>
    <row r="708" spans="2:5" ht="16.5" x14ac:dyDescent="0.3">
      <c r="B708"/>
      <c r="C708"/>
      <c r="D708"/>
      <c r="E708"/>
    </row>
    <row r="709" spans="2:5" ht="16.5" x14ac:dyDescent="0.3">
      <c r="B709"/>
      <c r="C709"/>
      <c r="D709"/>
      <c r="E709"/>
    </row>
    <row r="710" spans="2:5" ht="16.5" x14ac:dyDescent="0.3">
      <c r="B710"/>
      <c r="C710"/>
      <c r="D710"/>
      <c r="E710"/>
    </row>
    <row r="711" spans="2:5" ht="16.5" x14ac:dyDescent="0.3">
      <c r="B711"/>
      <c r="C711"/>
      <c r="D711"/>
      <c r="E711"/>
    </row>
    <row r="712" spans="2:5" ht="16.5" x14ac:dyDescent="0.3">
      <c r="B712"/>
      <c r="C712"/>
      <c r="D712"/>
      <c r="E712"/>
    </row>
    <row r="713" spans="2:5" ht="16.5" x14ac:dyDescent="0.3">
      <c r="B713"/>
      <c r="C713"/>
      <c r="D713"/>
      <c r="E713"/>
    </row>
    <row r="714" spans="2:5" ht="16.5" x14ac:dyDescent="0.3">
      <c r="B714"/>
      <c r="C714"/>
      <c r="D714"/>
      <c r="E714"/>
    </row>
    <row r="715" spans="2:5" ht="16.5" x14ac:dyDescent="0.3">
      <c r="B715"/>
      <c r="C715"/>
      <c r="D715"/>
      <c r="E715"/>
    </row>
    <row r="716" spans="2:5" ht="16.5" x14ac:dyDescent="0.3">
      <c r="B716"/>
      <c r="C716"/>
      <c r="D716"/>
      <c r="E716"/>
    </row>
    <row r="717" spans="2:5" ht="16.5" x14ac:dyDescent="0.3">
      <c r="B717"/>
      <c r="C717"/>
      <c r="D717"/>
      <c r="E717"/>
    </row>
    <row r="718" spans="2:5" ht="16.5" x14ac:dyDescent="0.3">
      <c r="B718"/>
      <c r="C718"/>
      <c r="D718"/>
      <c r="E718"/>
    </row>
    <row r="719" spans="2:5" ht="16.5" x14ac:dyDescent="0.3">
      <c r="B719"/>
      <c r="C719"/>
      <c r="D719"/>
      <c r="E719"/>
    </row>
    <row r="720" spans="2:5" ht="16.5" x14ac:dyDescent="0.3">
      <c r="B720"/>
      <c r="C720"/>
      <c r="D720"/>
      <c r="E720"/>
    </row>
    <row r="721" spans="2:5" ht="16.5" x14ac:dyDescent="0.3">
      <c r="B721"/>
      <c r="C721"/>
      <c r="D721"/>
      <c r="E721"/>
    </row>
    <row r="722" spans="2:5" ht="16.5" x14ac:dyDescent="0.3">
      <c r="B722"/>
      <c r="C722"/>
      <c r="D722"/>
      <c r="E722"/>
    </row>
    <row r="723" spans="2:5" ht="16.5" x14ac:dyDescent="0.3">
      <c r="B723"/>
      <c r="C723"/>
      <c r="D723"/>
      <c r="E723"/>
    </row>
    <row r="724" spans="2:5" ht="16.5" x14ac:dyDescent="0.3">
      <c r="B724"/>
      <c r="C724"/>
      <c r="D724"/>
      <c r="E724"/>
    </row>
    <row r="725" spans="2:5" ht="16.5" x14ac:dyDescent="0.3">
      <c r="B725"/>
      <c r="C725"/>
      <c r="D725"/>
      <c r="E725"/>
    </row>
    <row r="726" spans="2:5" ht="16.5" x14ac:dyDescent="0.3">
      <c r="B726"/>
      <c r="C726"/>
      <c r="D726"/>
      <c r="E726"/>
    </row>
    <row r="727" spans="2:5" ht="16.5" x14ac:dyDescent="0.3">
      <c r="B727"/>
      <c r="C727"/>
      <c r="D727"/>
      <c r="E727"/>
    </row>
    <row r="728" spans="2:5" ht="16.5" x14ac:dyDescent="0.3">
      <c r="B728"/>
      <c r="C728"/>
      <c r="D728"/>
      <c r="E728"/>
    </row>
    <row r="729" spans="2:5" ht="16.5" x14ac:dyDescent="0.3">
      <c r="B729"/>
      <c r="C729"/>
      <c r="D729"/>
      <c r="E729"/>
    </row>
    <row r="730" spans="2:5" ht="16.5" x14ac:dyDescent="0.3">
      <c r="B730"/>
      <c r="C730"/>
      <c r="D730"/>
      <c r="E730"/>
    </row>
    <row r="731" spans="2:5" ht="16.5" x14ac:dyDescent="0.3">
      <c r="B731"/>
      <c r="C731"/>
      <c r="D731"/>
      <c r="E731"/>
    </row>
    <row r="732" spans="2:5" ht="16.5" x14ac:dyDescent="0.3">
      <c r="B732"/>
      <c r="C732"/>
      <c r="D732"/>
      <c r="E732"/>
    </row>
    <row r="733" spans="2:5" ht="16.5" x14ac:dyDescent="0.3">
      <c r="B733"/>
      <c r="C733"/>
      <c r="D733"/>
      <c r="E733"/>
    </row>
    <row r="734" spans="2:5" ht="16.5" x14ac:dyDescent="0.3">
      <c r="B734"/>
      <c r="C734"/>
      <c r="D734"/>
      <c r="E734"/>
    </row>
    <row r="735" spans="2:5" ht="16.5" x14ac:dyDescent="0.3">
      <c r="B735"/>
      <c r="C735"/>
      <c r="D735"/>
      <c r="E735"/>
    </row>
    <row r="736" spans="2:5" ht="16.5" x14ac:dyDescent="0.3">
      <c r="B736"/>
      <c r="C736"/>
      <c r="D736"/>
      <c r="E736"/>
    </row>
    <row r="737" spans="2:5" ht="16.5" x14ac:dyDescent="0.3">
      <c r="B737"/>
      <c r="C737"/>
      <c r="D737"/>
      <c r="E737"/>
    </row>
    <row r="738" spans="2:5" ht="16.5" x14ac:dyDescent="0.3">
      <c r="B738"/>
      <c r="C738"/>
      <c r="D738"/>
      <c r="E738"/>
    </row>
    <row r="739" spans="2:5" ht="16.5" x14ac:dyDescent="0.3">
      <c r="B739"/>
      <c r="C739"/>
      <c r="D739"/>
      <c r="E739"/>
    </row>
    <row r="740" spans="2:5" ht="16.5" x14ac:dyDescent="0.3">
      <c r="B740"/>
      <c r="C740"/>
      <c r="D740"/>
      <c r="E740"/>
    </row>
    <row r="741" spans="2:5" ht="16.5" x14ac:dyDescent="0.3">
      <c r="B741"/>
      <c r="C741"/>
      <c r="D741"/>
      <c r="E741"/>
    </row>
    <row r="742" spans="2:5" ht="16.5" x14ac:dyDescent="0.3">
      <c r="B742"/>
      <c r="C742"/>
      <c r="D742"/>
      <c r="E742"/>
    </row>
    <row r="743" spans="2:5" ht="16.5" x14ac:dyDescent="0.3">
      <c r="B743"/>
      <c r="C743"/>
      <c r="D743"/>
      <c r="E743"/>
    </row>
    <row r="744" spans="2:5" ht="16.5" x14ac:dyDescent="0.3">
      <c r="B744"/>
      <c r="C744"/>
      <c r="D744"/>
      <c r="E744"/>
    </row>
    <row r="745" spans="2:5" ht="16.5" x14ac:dyDescent="0.3">
      <c r="B745"/>
      <c r="C745"/>
      <c r="D745"/>
      <c r="E745"/>
    </row>
    <row r="746" spans="2:5" ht="16.5" x14ac:dyDescent="0.3">
      <c r="B746"/>
      <c r="C746"/>
      <c r="D746"/>
      <c r="E746"/>
    </row>
    <row r="747" spans="2:5" ht="16.5" x14ac:dyDescent="0.3">
      <c r="B747"/>
      <c r="C747"/>
      <c r="D747"/>
      <c r="E747"/>
    </row>
    <row r="748" spans="2:5" ht="16.5" x14ac:dyDescent="0.3">
      <c r="B748"/>
      <c r="C748"/>
      <c r="D748"/>
      <c r="E748"/>
    </row>
    <row r="749" spans="2:5" ht="16.5" x14ac:dyDescent="0.3">
      <c r="B749"/>
      <c r="C749"/>
      <c r="D749"/>
      <c r="E749"/>
    </row>
    <row r="750" spans="2:5" ht="16.5" x14ac:dyDescent="0.3">
      <c r="B750"/>
      <c r="C750"/>
      <c r="D750"/>
      <c r="E750"/>
    </row>
    <row r="751" spans="2:5" ht="16.5" x14ac:dyDescent="0.3">
      <c r="B751"/>
      <c r="C751"/>
      <c r="D751"/>
      <c r="E751"/>
    </row>
    <row r="752" spans="2:5" ht="16.5" x14ac:dyDescent="0.3">
      <c r="B752"/>
      <c r="C752"/>
      <c r="D752"/>
      <c r="E752"/>
    </row>
    <row r="753" spans="2:5" ht="16.5" x14ac:dyDescent="0.3">
      <c r="B753"/>
      <c r="C753"/>
      <c r="D753"/>
      <c r="E753"/>
    </row>
    <row r="754" spans="2:5" ht="16.5" x14ac:dyDescent="0.3">
      <c r="B754"/>
      <c r="C754"/>
      <c r="D754"/>
      <c r="E754"/>
    </row>
    <row r="755" spans="2:5" ht="16.5" x14ac:dyDescent="0.3">
      <c r="B755"/>
      <c r="C755"/>
      <c r="D755"/>
      <c r="E755"/>
    </row>
    <row r="756" spans="2:5" ht="16.5" x14ac:dyDescent="0.3">
      <c r="B756"/>
      <c r="C756"/>
      <c r="D756"/>
      <c r="E756"/>
    </row>
    <row r="757" spans="2:5" ht="16.5" x14ac:dyDescent="0.3">
      <c r="B757"/>
      <c r="C757"/>
      <c r="D757"/>
      <c r="E757"/>
    </row>
    <row r="758" spans="2:5" ht="16.5" x14ac:dyDescent="0.3">
      <c r="B758"/>
      <c r="C758"/>
      <c r="D758"/>
      <c r="E758"/>
    </row>
    <row r="759" spans="2:5" ht="16.5" x14ac:dyDescent="0.3">
      <c r="B759"/>
      <c r="C759"/>
      <c r="D759"/>
      <c r="E759"/>
    </row>
    <row r="760" spans="2:5" ht="16.5" x14ac:dyDescent="0.3">
      <c r="B760"/>
      <c r="C760"/>
      <c r="D760"/>
      <c r="E760"/>
    </row>
    <row r="761" spans="2:5" ht="16.5" x14ac:dyDescent="0.3">
      <c r="B761"/>
      <c r="C761"/>
      <c r="D761"/>
      <c r="E761"/>
    </row>
    <row r="762" spans="2:5" ht="16.5" x14ac:dyDescent="0.3">
      <c r="B762"/>
      <c r="C762"/>
      <c r="D762"/>
      <c r="E762"/>
    </row>
    <row r="763" spans="2:5" ht="16.5" x14ac:dyDescent="0.3">
      <c r="B763"/>
      <c r="C763"/>
      <c r="D763"/>
      <c r="E763"/>
    </row>
    <row r="764" spans="2:5" ht="16.5" x14ac:dyDescent="0.3">
      <c r="B764"/>
      <c r="C764"/>
      <c r="D764"/>
      <c r="E764"/>
    </row>
    <row r="765" spans="2:5" ht="16.5" x14ac:dyDescent="0.3">
      <c r="B765"/>
      <c r="C765"/>
      <c r="D765"/>
      <c r="E765"/>
    </row>
    <row r="766" spans="2:5" ht="16.5" x14ac:dyDescent="0.3">
      <c r="B766"/>
      <c r="C766"/>
      <c r="D766"/>
      <c r="E766"/>
    </row>
    <row r="767" spans="2:5" ht="16.5" x14ac:dyDescent="0.3">
      <c r="B767"/>
      <c r="C767"/>
      <c r="D767"/>
      <c r="E767"/>
    </row>
    <row r="768" spans="2:5" ht="16.5" x14ac:dyDescent="0.3">
      <c r="B768"/>
      <c r="C768"/>
      <c r="D768"/>
      <c r="E768"/>
    </row>
    <row r="769" spans="2:5" ht="16.5" x14ac:dyDescent="0.3">
      <c r="B769"/>
      <c r="C769"/>
      <c r="D769"/>
      <c r="E769"/>
    </row>
    <row r="770" spans="2:5" ht="16.5" x14ac:dyDescent="0.3">
      <c r="B770"/>
      <c r="C770"/>
      <c r="D770"/>
      <c r="E770"/>
    </row>
    <row r="771" spans="2:5" ht="16.5" x14ac:dyDescent="0.3">
      <c r="B771"/>
      <c r="C771"/>
      <c r="D771"/>
      <c r="E771"/>
    </row>
    <row r="772" spans="2:5" ht="16.5" x14ac:dyDescent="0.3">
      <c r="B772"/>
      <c r="C772"/>
      <c r="D772"/>
      <c r="E772"/>
    </row>
    <row r="773" spans="2:5" ht="16.5" x14ac:dyDescent="0.3">
      <c r="B773"/>
      <c r="C773"/>
      <c r="D773"/>
      <c r="E773"/>
    </row>
    <row r="774" spans="2:5" ht="16.5" x14ac:dyDescent="0.3">
      <c r="B774"/>
      <c r="C774"/>
      <c r="D774"/>
      <c r="E774"/>
    </row>
    <row r="775" spans="2:5" ht="16.5" x14ac:dyDescent="0.3">
      <c r="B775"/>
      <c r="C775"/>
      <c r="D775"/>
      <c r="E775"/>
    </row>
    <row r="776" spans="2:5" ht="16.5" x14ac:dyDescent="0.3">
      <c r="B776"/>
      <c r="C776"/>
      <c r="D776"/>
      <c r="E776"/>
    </row>
    <row r="777" spans="2:5" ht="16.5" x14ac:dyDescent="0.3">
      <c r="B777"/>
      <c r="C777"/>
      <c r="D777"/>
      <c r="E777"/>
    </row>
    <row r="778" spans="2:5" ht="16.5" x14ac:dyDescent="0.3">
      <c r="B778"/>
      <c r="C778"/>
      <c r="D778"/>
      <c r="E778"/>
    </row>
    <row r="779" spans="2:5" ht="16.5" x14ac:dyDescent="0.3">
      <c r="B779"/>
      <c r="C779"/>
      <c r="D779"/>
      <c r="E779"/>
    </row>
    <row r="780" spans="2:5" ht="16.5" x14ac:dyDescent="0.3">
      <c r="B780"/>
      <c r="C780"/>
      <c r="D780"/>
      <c r="E780"/>
    </row>
    <row r="781" spans="2:5" ht="16.5" x14ac:dyDescent="0.3">
      <c r="B781"/>
      <c r="C781"/>
      <c r="D781"/>
      <c r="E781"/>
    </row>
    <row r="782" spans="2:5" ht="16.5" x14ac:dyDescent="0.3">
      <c r="B782"/>
      <c r="C782"/>
      <c r="D782"/>
      <c r="E782"/>
    </row>
    <row r="783" spans="2:5" ht="16.5" x14ac:dyDescent="0.3">
      <c r="B783"/>
      <c r="C783"/>
      <c r="D783"/>
      <c r="E783"/>
    </row>
    <row r="784" spans="2:5" ht="16.5" x14ac:dyDescent="0.3">
      <c r="B784"/>
      <c r="C784"/>
      <c r="D784"/>
      <c r="E784"/>
    </row>
    <row r="785" spans="2:5" ht="16.5" x14ac:dyDescent="0.3">
      <c r="B785"/>
      <c r="C785"/>
      <c r="D785"/>
      <c r="E785"/>
    </row>
    <row r="786" spans="2:5" ht="16.5" x14ac:dyDescent="0.3">
      <c r="B786"/>
      <c r="C786"/>
      <c r="D786"/>
      <c r="E786"/>
    </row>
    <row r="787" spans="2:5" ht="16.5" x14ac:dyDescent="0.3">
      <c r="B787"/>
      <c r="C787"/>
      <c r="D787"/>
      <c r="E787"/>
    </row>
    <row r="788" spans="2:5" ht="16.5" x14ac:dyDescent="0.3">
      <c r="B788"/>
      <c r="C788"/>
      <c r="D788"/>
      <c r="E788"/>
    </row>
    <row r="789" spans="2:5" ht="16.5" x14ac:dyDescent="0.3">
      <c r="B789"/>
      <c r="C789"/>
      <c r="D789"/>
      <c r="E789"/>
    </row>
    <row r="790" spans="2:5" ht="16.5" x14ac:dyDescent="0.3">
      <c r="B790"/>
      <c r="C790"/>
      <c r="D790"/>
      <c r="E790"/>
    </row>
    <row r="791" spans="2:5" ht="16.5" x14ac:dyDescent="0.3">
      <c r="B791"/>
      <c r="C791"/>
      <c r="D791"/>
      <c r="E791"/>
    </row>
    <row r="792" spans="2:5" ht="16.5" x14ac:dyDescent="0.3">
      <c r="B792"/>
      <c r="C792"/>
      <c r="D792"/>
      <c r="E792"/>
    </row>
    <row r="793" spans="2:5" ht="16.5" x14ac:dyDescent="0.3">
      <c r="B793"/>
      <c r="C793"/>
      <c r="D793"/>
      <c r="E793"/>
    </row>
    <row r="794" spans="2:5" ht="16.5" x14ac:dyDescent="0.3">
      <c r="B794"/>
      <c r="C794"/>
      <c r="D794"/>
      <c r="E794"/>
    </row>
    <row r="795" spans="2:5" ht="16.5" x14ac:dyDescent="0.3">
      <c r="B795"/>
      <c r="C795"/>
      <c r="D795"/>
      <c r="E795"/>
    </row>
    <row r="796" spans="2:5" ht="16.5" x14ac:dyDescent="0.3">
      <c r="B796"/>
      <c r="C796"/>
      <c r="D796"/>
      <c r="E796"/>
    </row>
    <row r="797" spans="2:5" ht="16.5" x14ac:dyDescent="0.3">
      <c r="B797"/>
      <c r="C797"/>
      <c r="D797"/>
      <c r="E797"/>
    </row>
    <row r="798" spans="2:5" ht="16.5" x14ac:dyDescent="0.3">
      <c r="B798"/>
      <c r="C798"/>
      <c r="D798"/>
      <c r="E798"/>
    </row>
    <row r="799" spans="2:5" ht="16.5" x14ac:dyDescent="0.3">
      <c r="B799"/>
      <c r="C799"/>
      <c r="D799"/>
      <c r="E799"/>
    </row>
    <row r="800" spans="2:5" ht="16.5" x14ac:dyDescent="0.3">
      <c r="B800"/>
      <c r="C800"/>
      <c r="D800"/>
      <c r="E800"/>
    </row>
    <row r="801" spans="2:5" ht="16.5" x14ac:dyDescent="0.3">
      <c r="B801"/>
      <c r="C801"/>
      <c r="D801"/>
      <c r="E801"/>
    </row>
    <row r="802" spans="2:5" ht="16.5" x14ac:dyDescent="0.3">
      <c r="B802"/>
      <c r="C802"/>
      <c r="D802"/>
      <c r="E802"/>
    </row>
    <row r="803" spans="2:5" ht="16.5" x14ac:dyDescent="0.3">
      <c r="B803"/>
      <c r="C803"/>
      <c r="D803"/>
      <c r="E803"/>
    </row>
    <row r="804" spans="2:5" ht="16.5" x14ac:dyDescent="0.3">
      <c r="B804"/>
      <c r="C804"/>
      <c r="D804"/>
      <c r="E804"/>
    </row>
    <row r="805" spans="2:5" ht="16.5" x14ac:dyDescent="0.3">
      <c r="B805"/>
      <c r="C805"/>
      <c r="D805"/>
      <c r="E805"/>
    </row>
    <row r="806" spans="2:5" ht="16.5" x14ac:dyDescent="0.3">
      <c r="B806"/>
      <c r="C806"/>
      <c r="D806"/>
      <c r="E806"/>
    </row>
    <row r="807" spans="2:5" ht="16.5" x14ac:dyDescent="0.3">
      <c r="B807"/>
      <c r="C807"/>
      <c r="D807"/>
      <c r="E807"/>
    </row>
    <row r="808" spans="2:5" ht="16.5" x14ac:dyDescent="0.3">
      <c r="B808"/>
      <c r="C808"/>
      <c r="D808"/>
      <c r="E808"/>
    </row>
    <row r="809" spans="2:5" ht="16.5" x14ac:dyDescent="0.3">
      <c r="B809"/>
      <c r="C809"/>
      <c r="D809"/>
      <c r="E809"/>
    </row>
    <row r="810" spans="2:5" ht="16.5" x14ac:dyDescent="0.3">
      <c r="B810"/>
      <c r="C810"/>
      <c r="D810"/>
      <c r="E810"/>
    </row>
    <row r="811" spans="2:5" ht="16.5" x14ac:dyDescent="0.3">
      <c r="B811"/>
      <c r="C811"/>
      <c r="D811"/>
      <c r="E811"/>
    </row>
    <row r="812" spans="2:5" ht="16.5" x14ac:dyDescent="0.3">
      <c r="B812"/>
      <c r="C812"/>
      <c r="D812"/>
      <c r="E812"/>
    </row>
    <row r="813" spans="2:5" ht="16.5" x14ac:dyDescent="0.3">
      <c r="B813"/>
      <c r="C813"/>
      <c r="D813"/>
      <c r="E813"/>
    </row>
    <row r="814" spans="2:5" ht="16.5" x14ac:dyDescent="0.3">
      <c r="B814"/>
      <c r="C814"/>
      <c r="D814"/>
      <c r="E814"/>
    </row>
    <row r="815" spans="2:5" ht="16.5" x14ac:dyDescent="0.3">
      <c r="B815"/>
      <c r="C815"/>
      <c r="D815"/>
      <c r="E815"/>
    </row>
    <row r="816" spans="2:5" ht="16.5" x14ac:dyDescent="0.3">
      <c r="B816"/>
      <c r="C816"/>
      <c r="D816"/>
      <c r="E816"/>
    </row>
    <row r="817" spans="2:5" ht="16.5" x14ac:dyDescent="0.3">
      <c r="B817"/>
      <c r="C817"/>
      <c r="D817"/>
      <c r="E817"/>
    </row>
    <row r="818" spans="2:5" ht="16.5" x14ac:dyDescent="0.3">
      <c r="B818"/>
      <c r="C818"/>
      <c r="D818"/>
      <c r="E818"/>
    </row>
    <row r="819" spans="2:5" ht="16.5" x14ac:dyDescent="0.3">
      <c r="B819"/>
      <c r="C819"/>
      <c r="D819"/>
      <c r="E819"/>
    </row>
    <row r="820" spans="2:5" ht="16.5" x14ac:dyDescent="0.3">
      <c r="B820"/>
      <c r="C820"/>
      <c r="D820"/>
      <c r="E820"/>
    </row>
    <row r="821" spans="2:5" ht="16.5" x14ac:dyDescent="0.3">
      <c r="B821"/>
      <c r="C821"/>
      <c r="D821"/>
      <c r="E821"/>
    </row>
    <row r="822" spans="2:5" ht="16.5" x14ac:dyDescent="0.3">
      <c r="B822"/>
      <c r="C822"/>
      <c r="D822"/>
      <c r="E822"/>
    </row>
    <row r="823" spans="2:5" ht="16.5" x14ac:dyDescent="0.3">
      <c r="B823"/>
      <c r="C823"/>
      <c r="D823"/>
      <c r="E823"/>
    </row>
    <row r="824" spans="2:5" ht="16.5" x14ac:dyDescent="0.3">
      <c r="B824"/>
      <c r="C824"/>
      <c r="D824"/>
      <c r="E824"/>
    </row>
    <row r="825" spans="2:5" ht="16.5" x14ac:dyDescent="0.3">
      <c r="B825"/>
      <c r="C825"/>
      <c r="D825"/>
      <c r="E825"/>
    </row>
    <row r="826" spans="2:5" ht="16.5" x14ac:dyDescent="0.3">
      <c r="B826"/>
      <c r="C826"/>
      <c r="D826"/>
      <c r="E826"/>
    </row>
    <row r="827" spans="2:5" ht="16.5" x14ac:dyDescent="0.3">
      <c r="B827"/>
      <c r="C827"/>
      <c r="D827"/>
      <c r="E827"/>
    </row>
    <row r="828" spans="2:5" ht="16.5" x14ac:dyDescent="0.3">
      <c r="B828"/>
      <c r="C828"/>
      <c r="D828"/>
      <c r="E828"/>
    </row>
    <row r="829" spans="2:5" ht="16.5" x14ac:dyDescent="0.3">
      <c r="B829"/>
      <c r="C829"/>
      <c r="D829"/>
      <c r="E829"/>
    </row>
    <row r="830" spans="2:5" ht="16.5" x14ac:dyDescent="0.3">
      <c r="B830"/>
      <c r="C830"/>
      <c r="D830"/>
      <c r="E830"/>
    </row>
    <row r="831" spans="2:5" ht="16.5" x14ac:dyDescent="0.3">
      <c r="B831"/>
      <c r="C831"/>
      <c r="D831"/>
      <c r="E831"/>
    </row>
    <row r="832" spans="2:5" ht="16.5" x14ac:dyDescent="0.3">
      <c r="B832"/>
      <c r="C832"/>
      <c r="D832"/>
      <c r="E832"/>
    </row>
    <row r="833" spans="2:5" ht="16.5" x14ac:dyDescent="0.3">
      <c r="B833"/>
      <c r="C833"/>
      <c r="D833"/>
      <c r="E833"/>
    </row>
    <row r="834" spans="2:5" ht="16.5" x14ac:dyDescent="0.3">
      <c r="B834"/>
      <c r="C834"/>
      <c r="D834"/>
      <c r="E834"/>
    </row>
    <row r="835" spans="2:5" ht="16.5" x14ac:dyDescent="0.3">
      <c r="B835"/>
      <c r="C835"/>
      <c r="D835"/>
      <c r="E835"/>
    </row>
    <row r="836" spans="2:5" ht="16.5" x14ac:dyDescent="0.3">
      <c r="B836"/>
      <c r="C836"/>
      <c r="D836"/>
      <c r="E836"/>
    </row>
    <row r="837" spans="2:5" ht="16.5" x14ac:dyDescent="0.3">
      <c r="B837"/>
      <c r="C837"/>
      <c r="D837"/>
      <c r="E837"/>
    </row>
    <row r="838" spans="2:5" ht="16.5" x14ac:dyDescent="0.3">
      <c r="B838"/>
      <c r="C838"/>
      <c r="D838"/>
      <c r="E838"/>
    </row>
    <row r="839" spans="2:5" ht="16.5" x14ac:dyDescent="0.3">
      <c r="B839"/>
      <c r="C839"/>
      <c r="D839"/>
      <c r="E839"/>
    </row>
    <row r="840" spans="2:5" ht="16.5" x14ac:dyDescent="0.3">
      <c r="B840"/>
      <c r="C840"/>
      <c r="D840"/>
      <c r="E840"/>
    </row>
    <row r="841" spans="2:5" ht="16.5" x14ac:dyDescent="0.3">
      <c r="B841"/>
      <c r="C841"/>
      <c r="D841"/>
      <c r="E841"/>
    </row>
    <row r="842" spans="2:5" ht="16.5" x14ac:dyDescent="0.3">
      <c r="B842"/>
      <c r="C842"/>
      <c r="D842"/>
      <c r="E842"/>
    </row>
    <row r="843" spans="2:5" ht="16.5" x14ac:dyDescent="0.3">
      <c r="B843"/>
      <c r="C843"/>
      <c r="D843"/>
      <c r="E843"/>
    </row>
    <row r="844" spans="2:5" ht="16.5" x14ac:dyDescent="0.3">
      <c r="B844"/>
      <c r="C844"/>
      <c r="D844"/>
      <c r="E844"/>
    </row>
    <row r="845" spans="2:5" ht="16.5" x14ac:dyDescent="0.3">
      <c r="B845"/>
      <c r="C845"/>
      <c r="D845"/>
      <c r="E845"/>
    </row>
    <row r="846" spans="2:5" ht="16.5" x14ac:dyDescent="0.3">
      <c r="B846"/>
      <c r="C846"/>
      <c r="D846"/>
      <c r="E846"/>
    </row>
    <row r="847" spans="2:5" ht="16.5" x14ac:dyDescent="0.3">
      <c r="B847"/>
      <c r="C847"/>
      <c r="D847"/>
      <c r="E847"/>
    </row>
    <row r="848" spans="2:5" ht="16.5" x14ac:dyDescent="0.3">
      <c r="B848"/>
      <c r="C848"/>
      <c r="D848"/>
      <c r="E848"/>
    </row>
    <row r="849" spans="2:5" ht="16.5" x14ac:dyDescent="0.3">
      <c r="B849"/>
      <c r="C849"/>
      <c r="D849"/>
      <c r="E849"/>
    </row>
    <row r="850" spans="2:5" ht="16.5" x14ac:dyDescent="0.3">
      <c r="B850"/>
      <c r="C850"/>
      <c r="D850"/>
      <c r="E850"/>
    </row>
    <row r="851" spans="2:5" ht="16.5" x14ac:dyDescent="0.3">
      <c r="B851"/>
      <c r="C851"/>
      <c r="D851"/>
      <c r="E851"/>
    </row>
    <row r="852" spans="2:5" ht="16.5" x14ac:dyDescent="0.3">
      <c r="B852"/>
      <c r="C852"/>
      <c r="D852"/>
      <c r="E852"/>
    </row>
    <row r="853" spans="2:5" ht="16.5" x14ac:dyDescent="0.3">
      <c r="B853"/>
      <c r="C853"/>
      <c r="D853"/>
      <c r="E853"/>
    </row>
    <row r="854" spans="2:5" ht="16.5" x14ac:dyDescent="0.3">
      <c r="B854"/>
      <c r="C854"/>
      <c r="D854"/>
      <c r="E854"/>
    </row>
    <row r="855" spans="2:5" ht="16.5" x14ac:dyDescent="0.3">
      <c r="B855"/>
      <c r="C855"/>
      <c r="D855"/>
      <c r="E855"/>
    </row>
    <row r="856" spans="2:5" ht="16.5" x14ac:dyDescent="0.3">
      <c r="B856"/>
      <c r="C856"/>
      <c r="D856"/>
      <c r="E856"/>
    </row>
    <row r="857" spans="2:5" ht="16.5" x14ac:dyDescent="0.3">
      <c r="B857"/>
      <c r="C857"/>
      <c r="D857"/>
      <c r="E857"/>
    </row>
    <row r="858" spans="2:5" ht="16.5" x14ac:dyDescent="0.3">
      <c r="B858"/>
      <c r="C858"/>
      <c r="D858"/>
      <c r="E858"/>
    </row>
    <row r="859" spans="2:5" ht="16.5" x14ac:dyDescent="0.3">
      <c r="B859"/>
      <c r="C859"/>
      <c r="D859"/>
      <c r="E859"/>
    </row>
    <row r="860" spans="2:5" ht="16.5" x14ac:dyDescent="0.3">
      <c r="B860"/>
      <c r="C860"/>
      <c r="D860"/>
      <c r="E860"/>
    </row>
    <row r="861" spans="2:5" ht="16.5" x14ac:dyDescent="0.3">
      <c r="B861"/>
      <c r="C861"/>
      <c r="D861"/>
      <c r="E861"/>
    </row>
    <row r="862" spans="2:5" ht="16.5" x14ac:dyDescent="0.3">
      <c r="B862"/>
      <c r="C862"/>
      <c r="D862"/>
      <c r="E862"/>
    </row>
    <row r="863" spans="2:5" ht="16.5" x14ac:dyDescent="0.3">
      <c r="B863"/>
      <c r="C863"/>
      <c r="D863"/>
      <c r="E863"/>
    </row>
    <row r="864" spans="2:5" ht="16.5" x14ac:dyDescent="0.3">
      <c r="B864"/>
      <c r="C864"/>
      <c r="D864"/>
      <c r="E864"/>
    </row>
    <row r="865" spans="2:5" ht="16.5" x14ac:dyDescent="0.3">
      <c r="B865"/>
      <c r="C865"/>
      <c r="D865"/>
      <c r="E865"/>
    </row>
    <row r="866" spans="2:5" ht="16.5" x14ac:dyDescent="0.3">
      <c r="B866"/>
      <c r="C866"/>
      <c r="D866"/>
      <c r="E866"/>
    </row>
    <row r="867" spans="2:5" ht="16.5" x14ac:dyDescent="0.3">
      <c r="B867"/>
      <c r="C867"/>
      <c r="D867"/>
      <c r="E867"/>
    </row>
    <row r="868" spans="2:5" ht="16.5" x14ac:dyDescent="0.3">
      <c r="B868"/>
      <c r="C868"/>
      <c r="D868"/>
      <c r="E868"/>
    </row>
    <row r="869" spans="2:5" ht="16.5" x14ac:dyDescent="0.3">
      <c r="B869"/>
      <c r="C869"/>
      <c r="D869"/>
      <c r="E869"/>
    </row>
    <row r="870" spans="2:5" ht="16.5" x14ac:dyDescent="0.3">
      <c r="B870"/>
      <c r="C870"/>
      <c r="D870"/>
      <c r="E870"/>
    </row>
    <row r="871" spans="2:5" ht="16.5" x14ac:dyDescent="0.3">
      <c r="B871"/>
      <c r="C871"/>
      <c r="D871"/>
      <c r="E871"/>
    </row>
    <row r="872" spans="2:5" ht="16.5" x14ac:dyDescent="0.3">
      <c r="B872"/>
      <c r="C872"/>
      <c r="D872"/>
      <c r="E872"/>
    </row>
    <row r="873" spans="2:5" ht="16.5" x14ac:dyDescent="0.3">
      <c r="B873"/>
      <c r="C873"/>
      <c r="D873"/>
      <c r="E873"/>
    </row>
    <row r="874" spans="2:5" ht="16.5" x14ac:dyDescent="0.3">
      <c r="B874"/>
      <c r="C874"/>
      <c r="D874"/>
      <c r="E874"/>
    </row>
    <row r="875" spans="2:5" ht="16.5" x14ac:dyDescent="0.3">
      <c r="B875"/>
      <c r="C875"/>
      <c r="D875"/>
      <c r="E875"/>
    </row>
    <row r="876" spans="2:5" ht="16.5" x14ac:dyDescent="0.3">
      <c r="B876"/>
      <c r="C876"/>
      <c r="D876"/>
      <c r="E876"/>
    </row>
    <row r="877" spans="2:5" ht="16.5" x14ac:dyDescent="0.3">
      <c r="B877"/>
      <c r="C877"/>
      <c r="D877"/>
      <c r="E877"/>
    </row>
    <row r="878" spans="2:5" ht="16.5" x14ac:dyDescent="0.3">
      <c r="B878"/>
      <c r="C878"/>
      <c r="D878"/>
      <c r="E878"/>
    </row>
    <row r="879" spans="2:5" ht="16.5" x14ac:dyDescent="0.3">
      <c r="B879"/>
      <c r="C879"/>
      <c r="D879"/>
      <c r="E879"/>
    </row>
    <row r="880" spans="2:5" ht="16.5" x14ac:dyDescent="0.3">
      <c r="B880"/>
      <c r="C880"/>
      <c r="D880"/>
      <c r="E880"/>
    </row>
    <row r="881" spans="2:5" ht="16.5" x14ac:dyDescent="0.3">
      <c r="B881"/>
      <c r="C881"/>
      <c r="D881"/>
      <c r="E881"/>
    </row>
    <row r="882" spans="2:5" ht="16.5" x14ac:dyDescent="0.3">
      <c r="B882"/>
      <c r="C882"/>
      <c r="D882"/>
      <c r="E882"/>
    </row>
    <row r="883" spans="2:5" ht="16.5" x14ac:dyDescent="0.3">
      <c r="B883"/>
      <c r="C883"/>
      <c r="D883"/>
      <c r="E883"/>
    </row>
    <row r="884" spans="2:5" ht="16.5" x14ac:dyDescent="0.3">
      <c r="B884"/>
      <c r="C884"/>
      <c r="D884"/>
      <c r="E884"/>
    </row>
    <row r="885" spans="2:5" ht="16.5" x14ac:dyDescent="0.3">
      <c r="B885"/>
      <c r="C885"/>
      <c r="D885"/>
      <c r="E885"/>
    </row>
    <row r="886" spans="2:5" ht="16.5" x14ac:dyDescent="0.3">
      <c r="B886"/>
      <c r="C886"/>
      <c r="D886"/>
      <c r="E886"/>
    </row>
    <row r="887" spans="2:5" ht="16.5" x14ac:dyDescent="0.3">
      <c r="B887"/>
      <c r="C887"/>
      <c r="D887"/>
      <c r="E887"/>
    </row>
    <row r="888" spans="2:5" ht="16.5" x14ac:dyDescent="0.3">
      <c r="B888"/>
      <c r="C888"/>
      <c r="D888"/>
      <c r="E888"/>
    </row>
    <row r="889" spans="2:5" ht="16.5" x14ac:dyDescent="0.3">
      <c r="B889"/>
      <c r="C889"/>
      <c r="D889"/>
      <c r="E889"/>
    </row>
    <row r="890" spans="2:5" ht="16.5" x14ac:dyDescent="0.3">
      <c r="B890"/>
      <c r="C890"/>
      <c r="D890"/>
      <c r="E890"/>
    </row>
    <row r="891" spans="2:5" ht="16.5" x14ac:dyDescent="0.3">
      <c r="B891"/>
      <c r="C891"/>
      <c r="D891"/>
      <c r="E891"/>
    </row>
    <row r="892" spans="2:5" ht="16.5" x14ac:dyDescent="0.3">
      <c r="B892"/>
      <c r="C892"/>
      <c r="D892"/>
      <c r="E892"/>
    </row>
    <row r="893" spans="2:5" ht="16.5" x14ac:dyDescent="0.3">
      <c r="B893"/>
      <c r="C893"/>
      <c r="D893"/>
      <c r="E893"/>
    </row>
    <row r="894" spans="2:5" ht="16.5" x14ac:dyDescent="0.3">
      <c r="B894"/>
      <c r="C894"/>
      <c r="D894"/>
      <c r="E894"/>
    </row>
    <row r="895" spans="2:5" ht="16.5" x14ac:dyDescent="0.3">
      <c r="B895"/>
      <c r="C895"/>
      <c r="D895"/>
      <c r="E895"/>
    </row>
    <row r="896" spans="2:5" ht="16.5" x14ac:dyDescent="0.3">
      <c r="B896"/>
      <c r="C896"/>
      <c r="D896"/>
      <c r="E896"/>
    </row>
    <row r="897" spans="2:5" ht="16.5" x14ac:dyDescent="0.3">
      <c r="B897"/>
      <c r="C897"/>
      <c r="D897"/>
      <c r="E897"/>
    </row>
    <row r="898" spans="2:5" ht="16.5" x14ac:dyDescent="0.3">
      <c r="B898"/>
      <c r="C898"/>
      <c r="D898"/>
      <c r="E898"/>
    </row>
    <row r="899" spans="2:5" ht="16.5" x14ac:dyDescent="0.3">
      <c r="B899"/>
      <c r="C899"/>
      <c r="D899"/>
      <c r="E899"/>
    </row>
    <row r="900" spans="2:5" ht="16.5" x14ac:dyDescent="0.3">
      <c r="B900"/>
      <c r="C900"/>
      <c r="D900"/>
      <c r="E900"/>
    </row>
    <row r="901" spans="2:5" ht="16.5" x14ac:dyDescent="0.3">
      <c r="B901"/>
      <c r="C901"/>
      <c r="D901"/>
      <c r="E901"/>
    </row>
    <row r="902" spans="2:5" ht="16.5" x14ac:dyDescent="0.3">
      <c r="B902"/>
      <c r="C902"/>
      <c r="D902"/>
      <c r="E902"/>
    </row>
    <row r="903" spans="2:5" ht="16.5" x14ac:dyDescent="0.3">
      <c r="B903"/>
      <c r="C903"/>
      <c r="D903"/>
      <c r="E903"/>
    </row>
    <row r="904" spans="2:5" ht="16.5" x14ac:dyDescent="0.3">
      <c r="B904"/>
      <c r="C904"/>
      <c r="D904"/>
      <c r="E904"/>
    </row>
    <row r="905" spans="2:5" ht="16.5" x14ac:dyDescent="0.3">
      <c r="B905"/>
      <c r="C905"/>
      <c r="D905"/>
      <c r="E905"/>
    </row>
    <row r="906" spans="2:5" ht="16.5" x14ac:dyDescent="0.3">
      <c r="B906"/>
      <c r="C906"/>
      <c r="D906"/>
      <c r="E906"/>
    </row>
    <row r="907" spans="2:5" ht="16.5" x14ac:dyDescent="0.3">
      <c r="B907"/>
      <c r="C907"/>
      <c r="D907"/>
      <c r="E907"/>
    </row>
    <row r="908" spans="2:5" ht="16.5" x14ac:dyDescent="0.3">
      <c r="B908"/>
      <c r="C908"/>
      <c r="D908"/>
      <c r="E908"/>
    </row>
    <row r="909" spans="2:5" ht="16.5" x14ac:dyDescent="0.3">
      <c r="B909"/>
      <c r="C909"/>
      <c r="D909"/>
      <c r="E909"/>
    </row>
    <row r="910" spans="2:5" ht="16.5" x14ac:dyDescent="0.3">
      <c r="B910"/>
      <c r="C910"/>
      <c r="D910"/>
      <c r="E910"/>
    </row>
    <row r="911" spans="2:5" ht="16.5" x14ac:dyDescent="0.3">
      <c r="B911"/>
      <c r="C911"/>
      <c r="D911"/>
      <c r="E911"/>
    </row>
    <row r="912" spans="2:5" ht="16.5" x14ac:dyDescent="0.3">
      <c r="B912"/>
      <c r="C912"/>
      <c r="D912"/>
      <c r="E912"/>
    </row>
    <row r="913" spans="2:5" ht="16.5" x14ac:dyDescent="0.3">
      <c r="B913"/>
      <c r="C913"/>
      <c r="D913"/>
      <c r="E913"/>
    </row>
    <row r="914" spans="2:5" ht="16.5" x14ac:dyDescent="0.3">
      <c r="B914"/>
      <c r="C914"/>
      <c r="D914"/>
      <c r="E914"/>
    </row>
    <row r="915" spans="2:5" ht="16.5" x14ac:dyDescent="0.3">
      <c r="B915"/>
      <c r="C915"/>
      <c r="D915"/>
      <c r="E915"/>
    </row>
    <row r="916" spans="2:5" ht="16.5" x14ac:dyDescent="0.3">
      <c r="B916"/>
      <c r="C916"/>
      <c r="D916"/>
      <c r="E916"/>
    </row>
    <row r="917" spans="2:5" ht="16.5" x14ac:dyDescent="0.3">
      <c r="B917"/>
      <c r="C917"/>
      <c r="D917"/>
      <c r="E917"/>
    </row>
    <row r="918" spans="2:5" ht="16.5" x14ac:dyDescent="0.3">
      <c r="B918"/>
      <c r="C918"/>
      <c r="D918"/>
      <c r="E918"/>
    </row>
    <row r="919" spans="2:5" ht="16.5" x14ac:dyDescent="0.3">
      <c r="B919"/>
      <c r="C919"/>
      <c r="D919"/>
      <c r="E919"/>
    </row>
    <row r="920" spans="2:5" ht="16.5" x14ac:dyDescent="0.3">
      <c r="B920"/>
      <c r="C920"/>
      <c r="D920"/>
      <c r="E920"/>
    </row>
    <row r="921" spans="2:5" ht="16.5" x14ac:dyDescent="0.3">
      <c r="B921"/>
      <c r="C921"/>
      <c r="D921"/>
      <c r="E921"/>
    </row>
    <row r="922" spans="2:5" ht="16.5" x14ac:dyDescent="0.3">
      <c r="B922"/>
      <c r="C922"/>
      <c r="D922"/>
      <c r="E922"/>
    </row>
    <row r="923" spans="2:5" ht="16.5" x14ac:dyDescent="0.3">
      <c r="B923"/>
      <c r="C923"/>
      <c r="D923"/>
      <c r="E923"/>
    </row>
    <row r="924" spans="2:5" ht="16.5" x14ac:dyDescent="0.3">
      <c r="B924"/>
      <c r="C924"/>
      <c r="D924"/>
      <c r="E924"/>
    </row>
    <row r="925" spans="2:5" ht="16.5" x14ac:dyDescent="0.3">
      <c r="B925"/>
      <c r="C925"/>
      <c r="D925"/>
      <c r="E925"/>
    </row>
    <row r="926" spans="2:5" ht="16.5" x14ac:dyDescent="0.3">
      <c r="B926"/>
      <c r="C926"/>
      <c r="D926"/>
      <c r="E926"/>
    </row>
    <row r="927" spans="2:5" ht="16.5" x14ac:dyDescent="0.3">
      <c r="B927"/>
      <c r="C927"/>
      <c r="D927"/>
      <c r="E927"/>
    </row>
    <row r="928" spans="2:5" ht="16.5" x14ac:dyDescent="0.3">
      <c r="B928"/>
      <c r="C928"/>
      <c r="D928"/>
      <c r="E928"/>
    </row>
    <row r="929" spans="2:5" ht="16.5" x14ac:dyDescent="0.3">
      <c r="B929"/>
      <c r="C929"/>
      <c r="D929"/>
      <c r="E929"/>
    </row>
    <row r="930" spans="2:5" ht="16.5" x14ac:dyDescent="0.3">
      <c r="B930"/>
      <c r="C930"/>
      <c r="D930"/>
      <c r="E930"/>
    </row>
    <row r="931" spans="2:5" ht="16.5" x14ac:dyDescent="0.3">
      <c r="B931"/>
      <c r="C931"/>
      <c r="D931"/>
      <c r="E931"/>
    </row>
    <row r="932" spans="2:5" ht="16.5" x14ac:dyDescent="0.3">
      <c r="B932"/>
      <c r="C932"/>
      <c r="D932"/>
      <c r="E932"/>
    </row>
    <row r="933" spans="2:5" ht="16.5" x14ac:dyDescent="0.3">
      <c r="B933"/>
      <c r="C933"/>
      <c r="D933"/>
      <c r="E933"/>
    </row>
    <row r="934" spans="2:5" ht="16.5" x14ac:dyDescent="0.3">
      <c r="B934"/>
      <c r="C934"/>
      <c r="D934"/>
      <c r="E934"/>
    </row>
    <row r="935" spans="2:5" ht="16.5" x14ac:dyDescent="0.3">
      <c r="B935"/>
      <c r="C935"/>
      <c r="D935"/>
      <c r="E935"/>
    </row>
    <row r="936" spans="2:5" ht="16.5" x14ac:dyDescent="0.3">
      <c r="B936"/>
      <c r="C936"/>
      <c r="D936"/>
      <c r="E936"/>
    </row>
    <row r="937" spans="2:5" ht="16.5" x14ac:dyDescent="0.3">
      <c r="B937"/>
      <c r="C937"/>
      <c r="D937"/>
      <c r="E937"/>
    </row>
    <row r="938" spans="2:5" ht="16.5" x14ac:dyDescent="0.3">
      <c r="B938"/>
      <c r="C938"/>
      <c r="D938"/>
      <c r="E938"/>
    </row>
    <row r="939" spans="2:5" ht="16.5" x14ac:dyDescent="0.3">
      <c r="B939"/>
      <c r="C939"/>
      <c r="D939"/>
      <c r="E939"/>
    </row>
    <row r="940" spans="2:5" ht="16.5" x14ac:dyDescent="0.3">
      <c r="B940"/>
      <c r="C940"/>
      <c r="D940"/>
      <c r="E940"/>
    </row>
    <row r="941" spans="2:5" ht="16.5" x14ac:dyDescent="0.3">
      <c r="B941"/>
      <c r="C941"/>
      <c r="D941"/>
      <c r="E941"/>
    </row>
    <row r="942" spans="2:5" ht="16.5" x14ac:dyDescent="0.3">
      <c r="B942"/>
      <c r="C942"/>
      <c r="D942"/>
      <c r="E942"/>
    </row>
    <row r="943" spans="2:5" ht="16.5" x14ac:dyDescent="0.3">
      <c r="B943"/>
      <c r="C943"/>
      <c r="D943"/>
      <c r="E943"/>
    </row>
    <row r="944" spans="2:5" ht="16.5" x14ac:dyDescent="0.3">
      <c r="B944"/>
      <c r="C944"/>
      <c r="D944"/>
      <c r="E944"/>
    </row>
    <row r="945" spans="2:5" ht="16.5" x14ac:dyDescent="0.3">
      <c r="B945"/>
      <c r="C945"/>
      <c r="D945"/>
      <c r="E945"/>
    </row>
    <row r="946" spans="2:5" ht="16.5" x14ac:dyDescent="0.3">
      <c r="B946"/>
      <c r="C946"/>
      <c r="D946"/>
      <c r="E946"/>
    </row>
    <row r="947" spans="2:5" ht="16.5" x14ac:dyDescent="0.3">
      <c r="B947"/>
      <c r="C947"/>
      <c r="D947"/>
      <c r="E947"/>
    </row>
    <row r="948" spans="2:5" ht="16.5" x14ac:dyDescent="0.3">
      <c r="B948"/>
      <c r="C948"/>
      <c r="D948"/>
      <c r="E948"/>
    </row>
    <row r="949" spans="2:5" ht="16.5" x14ac:dyDescent="0.3">
      <c r="B949"/>
      <c r="C949"/>
      <c r="D949"/>
      <c r="E949"/>
    </row>
    <row r="950" spans="2:5" ht="16.5" x14ac:dyDescent="0.3">
      <c r="B950"/>
      <c r="C950"/>
      <c r="D950"/>
      <c r="E950"/>
    </row>
    <row r="951" spans="2:5" ht="16.5" x14ac:dyDescent="0.3">
      <c r="B951"/>
      <c r="C951"/>
      <c r="D951"/>
      <c r="E951"/>
    </row>
    <row r="952" spans="2:5" ht="16.5" x14ac:dyDescent="0.3">
      <c r="B952"/>
      <c r="C952"/>
      <c r="D952"/>
      <c r="E952"/>
    </row>
    <row r="953" spans="2:5" ht="16.5" x14ac:dyDescent="0.3">
      <c r="B953"/>
      <c r="C953"/>
      <c r="D953"/>
      <c r="E953"/>
    </row>
    <row r="954" spans="2:5" ht="16.5" x14ac:dyDescent="0.3">
      <c r="B954"/>
      <c r="C954"/>
      <c r="D954"/>
      <c r="E954"/>
    </row>
    <row r="955" spans="2:5" ht="16.5" x14ac:dyDescent="0.3">
      <c r="B955"/>
      <c r="C955"/>
      <c r="D955"/>
      <c r="E955"/>
    </row>
    <row r="956" spans="2:5" ht="16.5" x14ac:dyDescent="0.3">
      <c r="B956"/>
      <c r="C956"/>
      <c r="D956"/>
      <c r="E956"/>
    </row>
    <row r="957" spans="2:5" ht="16.5" x14ac:dyDescent="0.3">
      <c r="B957"/>
      <c r="C957"/>
      <c r="D957"/>
      <c r="E957"/>
    </row>
    <row r="958" spans="2:5" ht="16.5" x14ac:dyDescent="0.3">
      <c r="B958"/>
      <c r="C958"/>
      <c r="D958"/>
      <c r="E958"/>
    </row>
    <row r="959" spans="2:5" ht="16.5" x14ac:dyDescent="0.3">
      <c r="B959"/>
      <c r="C959"/>
      <c r="D959"/>
      <c r="E959"/>
    </row>
    <row r="960" spans="2:5" ht="16.5" x14ac:dyDescent="0.3">
      <c r="B960"/>
      <c r="C960"/>
      <c r="D960"/>
      <c r="E960"/>
    </row>
    <row r="961" spans="2:5" ht="16.5" x14ac:dyDescent="0.3">
      <c r="B961"/>
      <c r="C961"/>
      <c r="D961"/>
      <c r="E961"/>
    </row>
    <row r="962" spans="2:5" ht="16.5" x14ac:dyDescent="0.3">
      <c r="B962"/>
      <c r="C962"/>
      <c r="D962"/>
      <c r="E962"/>
    </row>
    <row r="963" spans="2:5" ht="16.5" x14ac:dyDescent="0.3">
      <c r="B963"/>
      <c r="C963"/>
      <c r="D963"/>
      <c r="E963"/>
    </row>
    <row r="964" spans="2:5" ht="16.5" x14ac:dyDescent="0.3">
      <c r="B964"/>
      <c r="C964"/>
      <c r="D964"/>
      <c r="E964"/>
    </row>
    <row r="965" spans="2:5" ht="16.5" x14ac:dyDescent="0.3">
      <c r="B965"/>
      <c r="C965"/>
      <c r="D965"/>
      <c r="E965"/>
    </row>
    <row r="966" spans="2:5" ht="16.5" x14ac:dyDescent="0.3">
      <c r="B966"/>
      <c r="C966"/>
      <c r="D966"/>
      <c r="E966"/>
    </row>
    <row r="967" spans="2:5" ht="16.5" x14ac:dyDescent="0.3">
      <c r="B967"/>
      <c r="C967"/>
      <c r="D967"/>
      <c r="E967"/>
    </row>
    <row r="968" spans="2:5" ht="16.5" x14ac:dyDescent="0.3">
      <c r="B968"/>
      <c r="C968"/>
      <c r="D968"/>
      <c r="E968"/>
    </row>
    <row r="969" spans="2:5" ht="16.5" x14ac:dyDescent="0.3">
      <c r="B969"/>
      <c r="C969"/>
      <c r="D969"/>
      <c r="E969"/>
    </row>
    <row r="970" spans="2:5" ht="16.5" x14ac:dyDescent="0.3">
      <c r="B970"/>
      <c r="C970"/>
      <c r="D970"/>
      <c r="E970"/>
    </row>
    <row r="971" spans="2:5" ht="16.5" x14ac:dyDescent="0.3">
      <c r="B971"/>
      <c r="C971"/>
      <c r="D971"/>
      <c r="E971"/>
    </row>
    <row r="972" spans="2:5" ht="16.5" x14ac:dyDescent="0.3">
      <c r="B972"/>
      <c r="C972"/>
      <c r="D972"/>
      <c r="E972"/>
    </row>
    <row r="973" spans="2:5" ht="16.5" x14ac:dyDescent="0.3">
      <c r="B973"/>
      <c r="C973"/>
      <c r="D973"/>
      <c r="E973"/>
    </row>
    <row r="974" spans="2:5" ht="16.5" x14ac:dyDescent="0.3">
      <c r="B974"/>
      <c r="C974"/>
      <c r="D974"/>
      <c r="E974"/>
    </row>
    <row r="975" spans="2:5" ht="16.5" x14ac:dyDescent="0.3">
      <c r="B975"/>
      <c r="C975"/>
      <c r="D975"/>
      <c r="E975"/>
    </row>
    <row r="976" spans="2:5" ht="16.5" x14ac:dyDescent="0.3">
      <c r="B976"/>
      <c r="C976"/>
      <c r="D976"/>
      <c r="E976"/>
    </row>
    <row r="977" spans="2:5" ht="16.5" x14ac:dyDescent="0.3">
      <c r="B977"/>
      <c r="C977"/>
      <c r="D977"/>
      <c r="E977"/>
    </row>
    <row r="978" spans="2:5" ht="16.5" x14ac:dyDescent="0.3">
      <c r="B978"/>
      <c r="C978"/>
      <c r="D978"/>
      <c r="E978"/>
    </row>
    <row r="979" spans="2:5" ht="16.5" x14ac:dyDescent="0.3">
      <c r="B979"/>
      <c r="C979"/>
      <c r="D979"/>
      <c r="E979"/>
    </row>
    <row r="980" spans="2:5" ht="16.5" x14ac:dyDescent="0.3">
      <c r="B980"/>
      <c r="C980"/>
      <c r="D980"/>
      <c r="E980"/>
    </row>
    <row r="981" spans="2:5" ht="16.5" x14ac:dyDescent="0.3">
      <c r="B981"/>
      <c r="C981"/>
      <c r="D981"/>
      <c r="E981"/>
    </row>
    <row r="982" spans="2:5" ht="16.5" x14ac:dyDescent="0.3">
      <c r="B982"/>
      <c r="C982"/>
      <c r="D982"/>
      <c r="E982"/>
    </row>
    <row r="983" spans="2:5" ht="16.5" x14ac:dyDescent="0.3">
      <c r="B983"/>
      <c r="C983"/>
      <c r="D983"/>
      <c r="E983"/>
    </row>
    <row r="984" spans="2:5" ht="16.5" x14ac:dyDescent="0.3">
      <c r="B984"/>
      <c r="C984"/>
      <c r="D984"/>
      <c r="E984"/>
    </row>
    <row r="985" spans="2:5" ht="16.5" x14ac:dyDescent="0.3">
      <c r="B985"/>
      <c r="C985"/>
      <c r="D985"/>
      <c r="E985"/>
    </row>
    <row r="986" spans="2:5" ht="16.5" x14ac:dyDescent="0.3">
      <c r="B986"/>
      <c r="C986"/>
      <c r="D986"/>
      <c r="E986"/>
    </row>
    <row r="987" spans="2:5" ht="16.5" x14ac:dyDescent="0.3">
      <c r="B987"/>
      <c r="C987"/>
      <c r="D987"/>
      <c r="E987"/>
    </row>
    <row r="988" spans="2:5" ht="16.5" x14ac:dyDescent="0.3">
      <c r="B988"/>
      <c r="C988"/>
      <c r="D988"/>
      <c r="E988"/>
    </row>
    <row r="989" spans="2:5" ht="16.5" x14ac:dyDescent="0.3">
      <c r="B989"/>
      <c r="C989"/>
      <c r="D989"/>
      <c r="E989"/>
    </row>
    <row r="990" spans="2:5" ht="16.5" x14ac:dyDescent="0.3">
      <c r="B990"/>
      <c r="C990"/>
      <c r="D990"/>
      <c r="E990"/>
    </row>
    <row r="991" spans="2:5" ht="16.5" x14ac:dyDescent="0.3">
      <c r="B991"/>
      <c r="C991"/>
      <c r="D991"/>
      <c r="E991"/>
    </row>
    <row r="992" spans="2:5" ht="16.5" x14ac:dyDescent="0.3">
      <c r="B992"/>
      <c r="C992"/>
      <c r="D992"/>
      <c r="E992"/>
    </row>
    <row r="993" spans="2:5" ht="16.5" x14ac:dyDescent="0.3">
      <c r="B993"/>
      <c r="C993"/>
      <c r="D993"/>
      <c r="E993"/>
    </row>
    <row r="994" spans="2:5" ht="16.5" x14ac:dyDescent="0.3">
      <c r="B994"/>
      <c r="C994"/>
      <c r="D994"/>
      <c r="E994"/>
    </row>
    <row r="995" spans="2:5" ht="16.5" x14ac:dyDescent="0.3">
      <c r="B995"/>
      <c r="C995"/>
      <c r="D995"/>
      <c r="E995"/>
    </row>
    <row r="996" spans="2:5" ht="16.5" x14ac:dyDescent="0.3">
      <c r="B996"/>
      <c r="C996"/>
      <c r="D996"/>
      <c r="E996"/>
    </row>
    <row r="997" spans="2:5" ht="16.5" x14ac:dyDescent="0.3">
      <c r="B997"/>
      <c r="C997"/>
      <c r="D997"/>
      <c r="E997"/>
    </row>
    <row r="998" spans="2:5" ht="16.5" x14ac:dyDescent="0.3">
      <c r="B998"/>
      <c r="C998"/>
      <c r="D998"/>
      <c r="E998"/>
    </row>
    <row r="999" spans="2:5" ht="16.5" x14ac:dyDescent="0.3">
      <c r="B999"/>
      <c r="C999"/>
      <c r="D999"/>
      <c r="E999"/>
    </row>
    <row r="1000" spans="2:5" ht="16.5" x14ac:dyDescent="0.3">
      <c r="B1000"/>
      <c r="C1000"/>
      <c r="D1000"/>
      <c r="E1000"/>
    </row>
    <row r="1001" spans="2:5" ht="16.5" x14ac:dyDescent="0.3">
      <c r="B1001"/>
      <c r="C1001"/>
      <c r="D1001"/>
      <c r="E1001"/>
    </row>
    <row r="1002" spans="2:5" ht="16.5" x14ac:dyDescent="0.3">
      <c r="B1002"/>
      <c r="C1002"/>
      <c r="D1002"/>
      <c r="E1002"/>
    </row>
    <row r="1003" spans="2:5" ht="16.5" x14ac:dyDescent="0.3">
      <c r="B1003"/>
      <c r="C1003"/>
      <c r="D1003"/>
      <c r="E1003"/>
    </row>
    <row r="1004" spans="2:5" ht="16.5" x14ac:dyDescent="0.3">
      <c r="B1004"/>
      <c r="C1004"/>
      <c r="D1004"/>
      <c r="E1004"/>
    </row>
    <row r="1005" spans="2:5" ht="16.5" x14ac:dyDescent="0.3">
      <c r="B1005"/>
      <c r="C1005"/>
      <c r="D1005"/>
      <c r="E1005"/>
    </row>
    <row r="1006" spans="2:5" ht="16.5" x14ac:dyDescent="0.3">
      <c r="B1006"/>
      <c r="C1006"/>
      <c r="D1006"/>
      <c r="E1006"/>
    </row>
    <row r="1007" spans="2:5" ht="16.5" x14ac:dyDescent="0.3">
      <c r="B1007"/>
      <c r="C1007"/>
      <c r="D1007"/>
      <c r="E1007"/>
    </row>
    <row r="1008" spans="2:5" ht="16.5" x14ac:dyDescent="0.3">
      <c r="B1008"/>
      <c r="C1008"/>
      <c r="D1008"/>
      <c r="E1008"/>
    </row>
    <row r="1009" spans="2:4" ht="16.5" x14ac:dyDescent="0.3">
      <c r="B1009"/>
      <c r="C1009"/>
      <c r="D1009"/>
    </row>
    <row r="1010" spans="2:4" ht="16.5" x14ac:dyDescent="0.3">
      <c r="B1010"/>
      <c r="C1010"/>
      <c r="D1010"/>
    </row>
    <row r="1011" spans="2:4" ht="16.5" x14ac:dyDescent="0.3">
      <c r="B1011"/>
      <c r="C1011"/>
      <c r="D1011"/>
    </row>
    <row r="1012" spans="2:4" ht="16.5" x14ac:dyDescent="0.3">
      <c r="B1012"/>
      <c r="C1012"/>
      <c r="D1012"/>
    </row>
    <row r="1013" spans="2:4" ht="16.5" x14ac:dyDescent="0.3">
      <c r="B1013"/>
      <c r="C1013"/>
      <c r="D1013"/>
    </row>
    <row r="1014" spans="2:4" ht="16.5" x14ac:dyDescent="0.3">
      <c r="B1014"/>
      <c r="C1014"/>
      <c r="D1014"/>
    </row>
    <row r="1015" spans="2:4" ht="16.5" x14ac:dyDescent="0.3">
      <c r="B1015"/>
      <c r="C1015"/>
      <c r="D1015"/>
    </row>
    <row r="1016" spans="2:4" ht="16.5" x14ac:dyDescent="0.3">
      <c r="B1016"/>
      <c r="C1016"/>
      <c r="D1016"/>
    </row>
    <row r="1017" spans="2:4" ht="16.5" x14ac:dyDescent="0.3">
      <c r="B1017"/>
      <c r="C1017"/>
      <c r="D1017"/>
    </row>
    <row r="1018" spans="2:4" ht="16.5" x14ac:dyDescent="0.3">
      <c r="B1018"/>
      <c r="C1018"/>
      <c r="D1018"/>
    </row>
    <row r="1019" spans="2:4" ht="16.5" x14ac:dyDescent="0.3">
      <c r="B1019"/>
      <c r="C1019"/>
      <c r="D1019"/>
    </row>
    <row r="1020" spans="2:4" ht="16.5" x14ac:dyDescent="0.3">
      <c r="B1020"/>
      <c r="C1020"/>
      <c r="D1020"/>
    </row>
    <row r="1021" spans="2:4" ht="16.5" x14ac:dyDescent="0.3">
      <c r="B1021"/>
      <c r="C1021"/>
      <c r="D1021"/>
    </row>
    <row r="1022" spans="2:4" ht="16.5" x14ac:dyDescent="0.3">
      <c r="B1022"/>
      <c r="C1022"/>
      <c r="D1022"/>
    </row>
    <row r="1023" spans="2:4" ht="16.5" x14ac:dyDescent="0.3">
      <c r="B1023"/>
      <c r="C1023"/>
      <c r="D1023"/>
    </row>
    <row r="1024" spans="2:4" ht="16.5" x14ac:dyDescent="0.3">
      <c r="B1024"/>
      <c r="C1024"/>
      <c r="D1024"/>
    </row>
    <row r="1025" spans="2:4" ht="16.5" x14ac:dyDescent="0.3">
      <c r="B1025"/>
      <c r="C1025"/>
      <c r="D1025"/>
    </row>
    <row r="1026" spans="2:4" ht="16.5" x14ac:dyDescent="0.3">
      <c r="B1026"/>
      <c r="C1026"/>
      <c r="D1026"/>
    </row>
    <row r="1027" spans="2:4" ht="16.5" x14ac:dyDescent="0.3">
      <c r="B1027"/>
      <c r="C1027"/>
      <c r="D1027"/>
    </row>
    <row r="1028" spans="2:4" ht="16.5" x14ac:dyDescent="0.3">
      <c r="B1028"/>
      <c r="C1028"/>
      <c r="D1028"/>
    </row>
    <row r="1029" spans="2:4" ht="16.5" x14ac:dyDescent="0.3">
      <c r="B1029"/>
      <c r="C1029"/>
      <c r="D1029"/>
    </row>
    <row r="1030" spans="2:4" ht="16.5" x14ac:dyDescent="0.3">
      <c r="B1030"/>
      <c r="C1030"/>
      <c r="D1030"/>
    </row>
    <row r="1031" spans="2:4" ht="16.5" x14ac:dyDescent="0.3">
      <c r="B1031"/>
      <c r="C1031"/>
      <c r="D1031"/>
    </row>
    <row r="1032" spans="2:4" ht="16.5" x14ac:dyDescent="0.3">
      <c r="B1032"/>
      <c r="C1032"/>
      <c r="D1032"/>
    </row>
    <row r="1033" spans="2:4" ht="16.5" x14ac:dyDescent="0.3">
      <c r="B1033"/>
      <c r="C1033"/>
      <c r="D1033"/>
    </row>
    <row r="1034" spans="2:4" ht="16.5" x14ac:dyDescent="0.3">
      <c r="B1034"/>
      <c r="C1034"/>
      <c r="D1034"/>
    </row>
    <row r="1035" spans="2:4" ht="16.5" x14ac:dyDescent="0.3">
      <c r="B1035"/>
      <c r="C1035"/>
      <c r="D1035"/>
    </row>
    <row r="1036" spans="2:4" ht="16.5" x14ac:dyDescent="0.3">
      <c r="B1036"/>
      <c r="C1036"/>
      <c r="D1036"/>
    </row>
    <row r="1037" spans="2:4" ht="16.5" x14ac:dyDescent="0.3">
      <c r="B1037"/>
      <c r="C1037"/>
      <c r="D1037"/>
    </row>
    <row r="1038" spans="2:4" ht="16.5" x14ac:dyDescent="0.3">
      <c r="B1038"/>
      <c r="C1038"/>
      <c r="D1038"/>
    </row>
    <row r="1039" spans="2:4" ht="16.5" x14ac:dyDescent="0.3">
      <c r="B1039"/>
      <c r="C1039"/>
      <c r="D1039"/>
    </row>
    <row r="1040" spans="2:4" ht="16.5" x14ac:dyDescent="0.3">
      <c r="B1040"/>
      <c r="C1040"/>
      <c r="D1040"/>
    </row>
    <row r="1041" spans="2:4" ht="16.5" x14ac:dyDescent="0.3">
      <c r="B1041"/>
      <c r="C1041"/>
      <c r="D1041"/>
    </row>
    <row r="1042" spans="2:4" ht="16.5" x14ac:dyDescent="0.3">
      <c r="B1042"/>
      <c r="C1042"/>
      <c r="D1042"/>
    </row>
    <row r="1043" spans="2:4" ht="16.5" x14ac:dyDescent="0.3">
      <c r="B1043"/>
      <c r="C1043"/>
      <c r="D1043"/>
    </row>
    <row r="1044" spans="2:4" ht="16.5" x14ac:dyDescent="0.3">
      <c r="B1044"/>
      <c r="C1044"/>
      <c r="D1044"/>
    </row>
    <row r="1045" spans="2:4" ht="16.5" x14ac:dyDescent="0.3">
      <c r="B1045"/>
      <c r="C1045"/>
      <c r="D1045"/>
    </row>
    <row r="1046" spans="2:4" ht="16.5" x14ac:dyDescent="0.3">
      <c r="B1046"/>
      <c r="C1046"/>
      <c r="D1046"/>
    </row>
    <row r="1047" spans="2:4" ht="16.5" x14ac:dyDescent="0.3">
      <c r="B1047"/>
      <c r="C1047"/>
      <c r="D1047"/>
    </row>
    <row r="1048" spans="2:4" ht="16.5" x14ac:dyDescent="0.3">
      <c r="B1048"/>
      <c r="C1048"/>
      <c r="D1048"/>
    </row>
    <row r="1049" spans="2:4" ht="16.5" x14ac:dyDescent="0.3">
      <c r="B1049"/>
      <c r="C1049"/>
      <c r="D1049"/>
    </row>
    <row r="1050" spans="2:4" ht="16.5" x14ac:dyDescent="0.3">
      <c r="B1050"/>
      <c r="C1050"/>
      <c r="D1050"/>
    </row>
    <row r="1051" spans="2:4" ht="16.5" x14ac:dyDescent="0.3">
      <c r="B1051"/>
      <c r="C1051"/>
      <c r="D1051"/>
    </row>
    <row r="1052" spans="2:4" ht="16.5" x14ac:dyDescent="0.3">
      <c r="B1052"/>
      <c r="C1052"/>
      <c r="D1052"/>
    </row>
    <row r="1053" spans="2:4" ht="16.5" x14ac:dyDescent="0.3">
      <c r="B1053"/>
      <c r="C1053"/>
      <c r="D1053"/>
    </row>
    <row r="1054" spans="2:4" ht="16.5" x14ac:dyDescent="0.3">
      <c r="B1054"/>
      <c r="C1054"/>
      <c r="D1054"/>
    </row>
    <row r="1055" spans="2:4" ht="16.5" x14ac:dyDescent="0.3">
      <c r="B1055"/>
      <c r="C1055"/>
      <c r="D1055"/>
    </row>
    <row r="1056" spans="2:4" ht="16.5" x14ac:dyDescent="0.3">
      <c r="B1056"/>
      <c r="C1056"/>
      <c r="D1056"/>
    </row>
    <row r="1057" spans="2:4" ht="16.5" x14ac:dyDescent="0.3">
      <c r="B1057"/>
      <c r="C1057"/>
      <c r="D1057"/>
    </row>
    <row r="1058" spans="2:4" ht="16.5" x14ac:dyDescent="0.3">
      <c r="B1058"/>
      <c r="C1058"/>
      <c r="D1058"/>
    </row>
    <row r="1059" spans="2:4" ht="16.5" x14ac:dyDescent="0.3">
      <c r="B1059"/>
      <c r="C1059"/>
      <c r="D1059"/>
    </row>
    <row r="1060" spans="2:4" ht="16.5" x14ac:dyDescent="0.3">
      <c r="B1060"/>
      <c r="C1060"/>
      <c r="D1060"/>
    </row>
    <row r="1061" spans="2:4" ht="16.5" x14ac:dyDescent="0.3">
      <c r="B1061"/>
      <c r="C1061"/>
      <c r="D1061"/>
    </row>
    <row r="1062" spans="2:4" ht="16.5" x14ac:dyDescent="0.3">
      <c r="B1062"/>
      <c r="C1062"/>
      <c r="D1062"/>
    </row>
    <row r="1063" spans="2:4" ht="16.5" x14ac:dyDescent="0.3">
      <c r="B1063"/>
      <c r="C1063"/>
      <c r="D1063"/>
    </row>
    <row r="1064" spans="2:4" ht="16.5" x14ac:dyDescent="0.3">
      <c r="B1064"/>
      <c r="C1064"/>
      <c r="D1064"/>
    </row>
    <row r="1065" spans="2:4" ht="16.5" x14ac:dyDescent="0.3">
      <c r="B1065"/>
      <c r="C1065"/>
      <c r="D1065"/>
    </row>
    <row r="1066" spans="2:4" ht="16.5" x14ac:dyDescent="0.3">
      <c r="B1066"/>
      <c r="C1066"/>
      <c r="D1066"/>
    </row>
    <row r="1067" spans="2:4" ht="16.5" x14ac:dyDescent="0.3">
      <c r="B1067"/>
      <c r="C1067"/>
      <c r="D1067"/>
    </row>
    <row r="1068" spans="2:4" ht="16.5" x14ac:dyDescent="0.3">
      <c r="B1068"/>
      <c r="C1068"/>
      <c r="D1068"/>
    </row>
    <row r="1069" spans="2:4" ht="16.5" x14ac:dyDescent="0.3">
      <c r="B1069"/>
      <c r="C1069"/>
      <c r="D1069"/>
    </row>
    <row r="1070" spans="2:4" ht="16.5" x14ac:dyDescent="0.3">
      <c r="B1070"/>
      <c r="C1070"/>
      <c r="D1070"/>
    </row>
    <row r="1071" spans="2:4" ht="16.5" x14ac:dyDescent="0.3">
      <c r="B1071"/>
      <c r="C1071"/>
      <c r="D1071"/>
    </row>
    <row r="1072" spans="2:4" ht="16.5" x14ac:dyDescent="0.3">
      <c r="B1072"/>
      <c r="C1072"/>
      <c r="D1072"/>
    </row>
    <row r="1073" spans="2:4" ht="16.5" x14ac:dyDescent="0.3">
      <c r="B1073"/>
      <c r="C1073"/>
      <c r="D1073"/>
    </row>
    <row r="1074" spans="2:4" ht="16.5" x14ac:dyDescent="0.3">
      <c r="B1074"/>
      <c r="C1074"/>
      <c r="D1074"/>
    </row>
    <row r="1075" spans="2:4" ht="16.5" x14ac:dyDescent="0.3">
      <c r="B1075"/>
      <c r="C1075"/>
      <c r="D1075"/>
    </row>
    <row r="1076" spans="2:4" ht="16.5" x14ac:dyDescent="0.3">
      <c r="B1076"/>
      <c r="C1076"/>
      <c r="D1076"/>
    </row>
    <row r="1077" spans="2:4" ht="16.5" x14ac:dyDescent="0.3">
      <c r="B1077"/>
      <c r="C1077"/>
      <c r="D1077"/>
    </row>
    <row r="1078" spans="2:4" ht="16.5" x14ac:dyDescent="0.3">
      <c r="B1078"/>
      <c r="C1078"/>
      <c r="D1078"/>
    </row>
    <row r="1079" spans="2:4" ht="16.5" x14ac:dyDescent="0.3">
      <c r="B1079"/>
      <c r="C1079"/>
      <c r="D1079"/>
    </row>
    <row r="1080" spans="2:4" ht="16.5" x14ac:dyDescent="0.3">
      <c r="B1080"/>
      <c r="C1080"/>
      <c r="D1080"/>
    </row>
    <row r="1081" spans="2:4" ht="16.5" x14ac:dyDescent="0.3">
      <c r="B1081"/>
      <c r="C1081"/>
      <c r="D1081"/>
    </row>
    <row r="1082" spans="2:4" ht="16.5" x14ac:dyDescent="0.3">
      <c r="B1082"/>
      <c r="C1082"/>
      <c r="D1082"/>
    </row>
    <row r="1083" spans="2:4" ht="16.5" x14ac:dyDescent="0.3">
      <c r="B1083"/>
      <c r="C1083"/>
      <c r="D1083"/>
    </row>
    <row r="1084" spans="2:4" ht="16.5" x14ac:dyDescent="0.3">
      <c r="B1084"/>
      <c r="C1084"/>
      <c r="D1084"/>
    </row>
    <row r="1085" spans="2:4" ht="16.5" x14ac:dyDescent="0.3">
      <c r="B1085"/>
      <c r="C1085"/>
      <c r="D1085"/>
    </row>
    <row r="1086" spans="2:4" ht="16.5" x14ac:dyDescent="0.3">
      <c r="B1086"/>
      <c r="C1086"/>
      <c r="D1086"/>
    </row>
    <row r="1087" spans="2:4" ht="16.5" x14ac:dyDescent="0.3">
      <c r="B1087"/>
      <c r="C1087"/>
      <c r="D1087"/>
    </row>
    <row r="1088" spans="2:4" ht="16.5" x14ac:dyDescent="0.3">
      <c r="B1088"/>
      <c r="C1088"/>
      <c r="D1088"/>
    </row>
    <row r="1089" spans="2:4" ht="16.5" x14ac:dyDescent="0.3">
      <c r="B1089"/>
      <c r="C1089"/>
      <c r="D1089"/>
    </row>
    <row r="1090" spans="2:4" ht="16.5" x14ac:dyDescent="0.3">
      <c r="B1090"/>
      <c r="C1090"/>
      <c r="D1090"/>
    </row>
    <row r="1091" spans="2:4" ht="16.5" x14ac:dyDescent="0.3">
      <c r="B1091"/>
      <c r="C1091"/>
      <c r="D1091"/>
    </row>
    <row r="1092" spans="2:4" ht="16.5" x14ac:dyDescent="0.3">
      <c r="B1092"/>
      <c r="C1092"/>
      <c r="D1092"/>
    </row>
    <row r="1093" spans="2:4" ht="16.5" x14ac:dyDescent="0.3">
      <c r="B1093"/>
      <c r="C1093"/>
      <c r="D1093"/>
    </row>
    <row r="1094" spans="2:4" ht="16.5" x14ac:dyDescent="0.3">
      <c r="B1094"/>
      <c r="C1094"/>
      <c r="D1094"/>
    </row>
    <row r="1095" spans="2:4" ht="16.5" x14ac:dyDescent="0.3">
      <c r="B1095"/>
      <c r="C1095"/>
      <c r="D1095"/>
    </row>
    <row r="1096" spans="2:4" ht="16.5" x14ac:dyDescent="0.3">
      <c r="B1096"/>
      <c r="C1096"/>
      <c r="D1096"/>
    </row>
    <row r="1097" spans="2:4" ht="16.5" x14ac:dyDescent="0.3">
      <c r="B1097"/>
      <c r="C1097"/>
      <c r="D1097"/>
    </row>
    <row r="1098" spans="2:4" ht="16.5" x14ac:dyDescent="0.3">
      <c r="B1098"/>
      <c r="C1098"/>
      <c r="D1098"/>
    </row>
    <row r="1099" spans="2:4" ht="16.5" x14ac:dyDescent="0.3">
      <c r="B1099"/>
      <c r="C1099"/>
      <c r="D1099"/>
    </row>
    <row r="1100" spans="2:4" ht="16.5" x14ac:dyDescent="0.3">
      <c r="B1100"/>
      <c r="C1100"/>
      <c r="D1100"/>
    </row>
    <row r="1101" spans="2:4" ht="16.5" x14ac:dyDescent="0.3">
      <c r="B1101"/>
      <c r="C1101"/>
      <c r="D1101"/>
    </row>
    <row r="1102" spans="2:4" ht="16.5" x14ac:dyDescent="0.3">
      <c r="B1102"/>
      <c r="C1102"/>
      <c r="D1102"/>
    </row>
    <row r="1103" spans="2:4" ht="16.5" x14ac:dyDescent="0.3">
      <c r="B1103"/>
      <c r="C1103"/>
      <c r="D1103"/>
    </row>
    <row r="1104" spans="2:4" ht="16.5" x14ac:dyDescent="0.3">
      <c r="B1104"/>
      <c r="C1104"/>
      <c r="D1104"/>
    </row>
    <row r="1105" spans="2:4" ht="16.5" x14ac:dyDescent="0.3">
      <c r="B1105"/>
      <c r="C1105"/>
      <c r="D1105"/>
    </row>
    <row r="1106" spans="2:4" ht="16.5" x14ac:dyDescent="0.3">
      <c r="B1106"/>
      <c r="C1106"/>
      <c r="D1106"/>
    </row>
    <row r="1107" spans="2:4" ht="16.5" x14ac:dyDescent="0.3">
      <c r="B1107"/>
      <c r="C1107"/>
      <c r="D1107"/>
    </row>
    <row r="1108" spans="2:4" ht="16.5" x14ac:dyDescent="0.3">
      <c r="B1108"/>
      <c r="C1108"/>
      <c r="D1108"/>
    </row>
    <row r="1109" spans="2:4" ht="16.5" x14ac:dyDescent="0.3">
      <c r="B1109"/>
      <c r="C1109"/>
      <c r="D1109"/>
    </row>
    <row r="1110" spans="2:4" ht="16.5" x14ac:dyDescent="0.3">
      <c r="B1110"/>
      <c r="C1110"/>
      <c r="D1110"/>
    </row>
    <row r="1111" spans="2:4" ht="16.5" x14ac:dyDescent="0.3">
      <c r="B1111"/>
      <c r="C1111"/>
      <c r="D1111"/>
    </row>
    <row r="1112" spans="2:4" ht="16.5" x14ac:dyDescent="0.3">
      <c r="B1112"/>
      <c r="C1112"/>
      <c r="D1112"/>
    </row>
    <row r="1113" spans="2:4" ht="16.5" x14ac:dyDescent="0.3">
      <c r="B1113"/>
      <c r="C1113"/>
      <c r="D1113"/>
    </row>
    <row r="1114" spans="2:4" ht="16.5" x14ac:dyDescent="0.3">
      <c r="B1114"/>
      <c r="C1114"/>
      <c r="D1114"/>
    </row>
    <row r="1115" spans="2:4" ht="16.5" x14ac:dyDescent="0.3">
      <c r="B1115"/>
      <c r="C1115"/>
      <c r="D1115"/>
    </row>
    <row r="1116" spans="2:4" ht="16.5" x14ac:dyDescent="0.3">
      <c r="B1116"/>
      <c r="C1116"/>
      <c r="D1116"/>
    </row>
    <row r="1117" spans="2:4" ht="16.5" x14ac:dyDescent="0.3">
      <c r="B1117"/>
      <c r="C1117"/>
      <c r="D1117"/>
    </row>
    <row r="1118" spans="2:4" ht="16.5" x14ac:dyDescent="0.3">
      <c r="B1118"/>
      <c r="C1118"/>
      <c r="D1118"/>
    </row>
    <row r="1119" spans="2:4" ht="16.5" x14ac:dyDescent="0.3">
      <c r="B1119"/>
      <c r="C1119"/>
      <c r="D1119"/>
    </row>
    <row r="1120" spans="2:4" ht="16.5" x14ac:dyDescent="0.3">
      <c r="B1120"/>
      <c r="C1120"/>
      <c r="D1120"/>
    </row>
    <row r="1121" spans="2:4" ht="16.5" x14ac:dyDescent="0.3">
      <c r="B1121"/>
      <c r="C1121"/>
      <c r="D1121"/>
    </row>
    <row r="1122" spans="2:4" ht="16.5" x14ac:dyDescent="0.3">
      <c r="B1122"/>
      <c r="C1122"/>
      <c r="D1122"/>
    </row>
    <row r="1123" spans="2:4" ht="16.5" x14ac:dyDescent="0.3">
      <c r="B1123"/>
      <c r="C1123"/>
      <c r="D1123"/>
    </row>
    <row r="1124" spans="2:4" ht="16.5" x14ac:dyDescent="0.3">
      <c r="B1124"/>
      <c r="C1124"/>
      <c r="D1124"/>
    </row>
    <row r="1125" spans="2:4" ht="16.5" x14ac:dyDescent="0.3">
      <c r="B1125"/>
      <c r="C1125"/>
      <c r="D1125"/>
    </row>
    <row r="1126" spans="2:4" ht="16.5" x14ac:dyDescent="0.3">
      <c r="B1126"/>
      <c r="C1126"/>
      <c r="D1126"/>
    </row>
    <row r="1127" spans="2:4" ht="16.5" x14ac:dyDescent="0.3">
      <c r="B1127"/>
      <c r="C1127"/>
      <c r="D1127"/>
    </row>
    <row r="1128" spans="2:4" ht="16.5" x14ac:dyDescent="0.3">
      <c r="B1128"/>
      <c r="C1128"/>
      <c r="D1128"/>
    </row>
    <row r="1129" spans="2:4" ht="16.5" x14ac:dyDescent="0.3">
      <c r="B1129"/>
      <c r="C1129"/>
      <c r="D1129"/>
    </row>
    <row r="1130" spans="2:4" ht="16.5" x14ac:dyDescent="0.3">
      <c r="B1130"/>
      <c r="C1130"/>
      <c r="D1130"/>
    </row>
    <row r="1131" spans="2:4" ht="16.5" x14ac:dyDescent="0.3">
      <c r="B1131"/>
      <c r="C1131"/>
      <c r="D1131"/>
    </row>
    <row r="1132" spans="2:4" ht="16.5" x14ac:dyDescent="0.3">
      <c r="B1132"/>
      <c r="C1132"/>
      <c r="D1132"/>
    </row>
    <row r="1133" spans="2:4" ht="16.5" x14ac:dyDescent="0.3">
      <c r="B1133"/>
      <c r="C1133"/>
      <c r="D1133"/>
    </row>
    <row r="1134" spans="2:4" ht="16.5" x14ac:dyDescent="0.3">
      <c r="B1134"/>
      <c r="C1134"/>
      <c r="D1134"/>
    </row>
    <row r="1135" spans="2:4" ht="16.5" x14ac:dyDescent="0.3">
      <c r="B1135"/>
      <c r="C1135"/>
      <c r="D1135"/>
    </row>
    <row r="1136" spans="2:4" ht="16.5" x14ac:dyDescent="0.3">
      <c r="B1136"/>
      <c r="C1136"/>
      <c r="D1136"/>
    </row>
    <row r="1137" spans="2:4" ht="16.5" x14ac:dyDescent="0.3">
      <c r="B1137"/>
      <c r="C1137"/>
      <c r="D1137"/>
    </row>
    <row r="1138" spans="2:4" ht="16.5" x14ac:dyDescent="0.3">
      <c r="B1138"/>
      <c r="C1138"/>
      <c r="D1138"/>
    </row>
    <row r="1139" spans="2:4" ht="16.5" x14ac:dyDescent="0.3">
      <c r="B1139"/>
      <c r="C1139"/>
      <c r="D1139"/>
    </row>
    <row r="1140" spans="2:4" ht="16.5" x14ac:dyDescent="0.3">
      <c r="B1140"/>
      <c r="C1140"/>
      <c r="D1140"/>
    </row>
    <row r="1141" spans="2:4" ht="16.5" x14ac:dyDescent="0.3">
      <c r="B1141"/>
      <c r="C1141"/>
      <c r="D1141"/>
    </row>
    <row r="1142" spans="2:4" ht="16.5" x14ac:dyDescent="0.3">
      <c r="B1142"/>
      <c r="C1142"/>
      <c r="D1142"/>
    </row>
    <row r="1143" spans="2:4" ht="16.5" x14ac:dyDescent="0.3">
      <c r="B1143"/>
      <c r="C1143"/>
      <c r="D1143"/>
    </row>
    <row r="1144" spans="2:4" ht="16.5" x14ac:dyDescent="0.3">
      <c r="B1144"/>
      <c r="C1144"/>
      <c r="D1144"/>
    </row>
    <row r="1145" spans="2:4" ht="16.5" x14ac:dyDescent="0.3">
      <c r="B1145"/>
      <c r="C1145"/>
      <c r="D1145"/>
    </row>
    <row r="1146" spans="2:4" ht="16.5" x14ac:dyDescent="0.3">
      <c r="B1146"/>
      <c r="C1146"/>
      <c r="D1146"/>
    </row>
    <row r="1147" spans="2:4" ht="16.5" x14ac:dyDescent="0.3">
      <c r="B1147"/>
      <c r="C1147"/>
      <c r="D1147"/>
    </row>
    <row r="1148" spans="2:4" ht="16.5" x14ac:dyDescent="0.3">
      <c r="B1148"/>
      <c r="C1148"/>
      <c r="D1148"/>
    </row>
    <row r="1149" spans="2:4" ht="16.5" x14ac:dyDescent="0.3">
      <c r="B1149"/>
      <c r="C1149"/>
      <c r="D1149"/>
    </row>
    <row r="1150" spans="2:4" ht="16.5" x14ac:dyDescent="0.3">
      <c r="B1150"/>
      <c r="C1150"/>
      <c r="D1150"/>
    </row>
    <row r="1151" spans="2:4" ht="16.5" x14ac:dyDescent="0.3">
      <c r="B1151"/>
      <c r="C1151"/>
      <c r="D1151"/>
    </row>
    <row r="1152" spans="2:4" ht="16.5" x14ac:dyDescent="0.3">
      <c r="B1152"/>
      <c r="C1152"/>
      <c r="D1152"/>
    </row>
    <row r="1153" spans="2:4" ht="16.5" x14ac:dyDescent="0.3">
      <c r="B1153"/>
      <c r="C1153"/>
      <c r="D1153"/>
    </row>
    <row r="1154" spans="2:4" ht="16.5" x14ac:dyDescent="0.3">
      <c r="B1154"/>
      <c r="C1154"/>
      <c r="D1154"/>
    </row>
    <row r="1155" spans="2:4" ht="16.5" x14ac:dyDescent="0.3">
      <c r="B1155"/>
      <c r="C1155"/>
      <c r="D1155"/>
    </row>
    <row r="1156" spans="2:4" ht="16.5" x14ac:dyDescent="0.3">
      <c r="B1156"/>
      <c r="C1156"/>
      <c r="D1156"/>
    </row>
    <row r="1157" spans="2:4" ht="16.5" x14ac:dyDescent="0.3">
      <c r="B1157"/>
      <c r="C1157"/>
      <c r="D1157"/>
    </row>
    <row r="1158" spans="2:4" ht="16.5" x14ac:dyDescent="0.3">
      <c r="B1158"/>
      <c r="C1158"/>
      <c r="D1158"/>
    </row>
    <row r="1159" spans="2:4" ht="16.5" x14ac:dyDescent="0.3">
      <c r="B1159"/>
      <c r="C1159"/>
      <c r="D1159"/>
    </row>
    <row r="1160" spans="2:4" ht="16.5" x14ac:dyDescent="0.3">
      <c r="B1160"/>
      <c r="C1160"/>
      <c r="D1160"/>
    </row>
    <row r="1161" spans="2:4" ht="16.5" x14ac:dyDescent="0.3">
      <c r="B1161"/>
      <c r="C1161"/>
      <c r="D1161"/>
    </row>
    <row r="1162" spans="2:4" ht="16.5" x14ac:dyDescent="0.3">
      <c r="B1162"/>
      <c r="C1162"/>
      <c r="D1162"/>
    </row>
    <row r="1163" spans="2:4" ht="16.5" x14ac:dyDescent="0.3">
      <c r="B1163"/>
      <c r="C1163"/>
      <c r="D1163"/>
    </row>
    <row r="1164" spans="2:4" ht="16.5" x14ac:dyDescent="0.3">
      <c r="B1164"/>
      <c r="C1164"/>
      <c r="D1164"/>
    </row>
    <row r="1165" spans="2:4" ht="16.5" x14ac:dyDescent="0.3">
      <c r="B1165"/>
      <c r="C1165"/>
      <c r="D1165"/>
    </row>
    <row r="1166" spans="2:4" ht="16.5" x14ac:dyDescent="0.3">
      <c r="B1166"/>
      <c r="C1166"/>
      <c r="D1166"/>
    </row>
    <row r="1167" spans="2:4" ht="16.5" x14ac:dyDescent="0.3">
      <c r="B1167"/>
      <c r="C1167"/>
      <c r="D1167"/>
    </row>
    <row r="1168" spans="2:4" ht="16.5" x14ac:dyDescent="0.3">
      <c r="B1168"/>
      <c r="C1168"/>
      <c r="D1168"/>
    </row>
    <row r="1169" spans="2:4" ht="16.5" x14ac:dyDescent="0.3">
      <c r="B1169"/>
      <c r="C1169"/>
      <c r="D1169"/>
    </row>
    <row r="1170" spans="2:4" ht="16.5" x14ac:dyDescent="0.3">
      <c r="B1170"/>
      <c r="C1170"/>
      <c r="D1170"/>
    </row>
    <row r="1171" spans="2:4" ht="16.5" x14ac:dyDescent="0.3">
      <c r="B1171"/>
      <c r="C1171"/>
      <c r="D1171"/>
    </row>
    <row r="1172" spans="2:4" ht="16.5" x14ac:dyDescent="0.3">
      <c r="B1172"/>
      <c r="C1172"/>
      <c r="D1172"/>
    </row>
    <row r="1173" spans="2:4" ht="16.5" x14ac:dyDescent="0.3">
      <c r="B1173"/>
      <c r="C1173"/>
      <c r="D1173"/>
    </row>
    <row r="1174" spans="2:4" ht="16.5" x14ac:dyDescent="0.3">
      <c r="B1174"/>
      <c r="C1174"/>
      <c r="D1174"/>
    </row>
    <row r="1175" spans="2:4" ht="16.5" x14ac:dyDescent="0.3">
      <c r="B1175"/>
      <c r="C1175"/>
      <c r="D1175"/>
    </row>
    <row r="1176" spans="2:4" ht="16.5" x14ac:dyDescent="0.3">
      <c r="B1176"/>
      <c r="C1176"/>
      <c r="D1176"/>
    </row>
    <row r="1177" spans="2:4" ht="16.5" x14ac:dyDescent="0.3">
      <c r="B1177"/>
      <c r="C1177"/>
      <c r="D1177"/>
    </row>
    <row r="1178" spans="2:4" ht="16.5" x14ac:dyDescent="0.3">
      <c r="B1178"/>
      <c r="C1178"/>
      <c r="D1178"/>
    </row>
    <row r="1179" spans="2:4" ht="16.5" x14ac:dyDescent="0.3">
      <c r="B1179"/>
      <c r="C1179"/>
      <c r="D1179"/>
    </row>
    <row r="1180" spans="2:4" ht="16.5" x14ac:dyDescent="0.3">
      <c r="B1180"/>
      <c r="C1180"/>
      <c r="D1180"/>
    </row>
    <row r="1181" spans="2:4" ht="16.5" x14ac:dyDescent="0.3">
      <c r="B1181"/>
      <c r="C1181"/>
      <c r="D1181"/>
    </row>
    <row r="1182" spans="2:4" ht="16.5" x14ac:dyDescent="0.3">
      <c r="B1182"/>
      <c r="C1182"/>
      <c r="D1182"/>
    </row>
    <row r="1183" spans="2:4" ht="16.5" x14ac:dyDescent="0.3">
      <c r="B1183"/>
      <c r="C1183"/>
      <c r="D1183"/>
    </row>
    <row r="1184" spans="2:4" ht="16.5" x14ac:dyDescent="0.3">
      <c r="B1184"/>
      <c r="C1184"/>
      <c r="D1184"/>
    </row>
    <row r="1185" spans="2:4" ht="16.5" x14ac:dyDescent="0.3">
      <c r="B1185"/>
      <c r="C1185"/>
      <c r="D1185"/>
    </row>
    <row r="1186" spans="2:4" ht="16.5" x14ac:dyDescent="0.3">
      <c r="B1186"/>
      <c r="C1186"/>
      <c r="D1186"/>
    </row>
    <row r="1187" spans="2:4" ht="16.5" x14ac:dyDescent="0.3">
      <c r="B1187"/>
      <c r="C1187"/>
      <c r="D1187"/>
    </row>
    <row r="1188" spans="2:4" ht="16.5" x14ac:dyDescent="0.3">
      <c r="B1188"/>
      <c r="C1188"/>
      <c r="D1188"/>
    </row>
    <row r="1189" spans="2:4" ht="16.5" x14ac:dyDescent="0.3">
      <c r="B1189"/>
      <c r="C1189"/>
      <c r="D1189"/>
    </row>
    <row r="1190" spans="2:4" ht="16.5" x14ac:dyDescent="0.3">
      <c r="B1190"/>
      <c r="C1190"/>
      <c r="D1190"/>
    </row>
    <row r="1191" spans="2:4" ht="16.5" x14ac:dyDescent="0.3">
      <c r="B1191"/>
      <c r="C1191"/>
      <c r="D1191"/>
    </row>
    <row r="1192" spans="2:4" ht="16.5" x14ac:dyDescent="0.3">
      <c r="B1192"/>
      <c r="C1192"/>
      <c r="D1192"/>
    </row>
    <row r="1193" spans="2:4" ht="16.5" x14ac:dyDescent="0.3">
      <c r="B1193"/>
      <c r="C1193"/>
      <c r="D1193"/>
    </row>
    <row r="1194" spans="2:4" ht="16.5" x14ac:dyDescent="0.3">
      <c r="B1194"/>
      <c r="C1194"/>
      <c r="D1194"/>
    </row>
    <row r="1195" spans="2:4" ht="16.5" x14ac:dyDescent="0.3">
      <c r="B1195"/>
      <c r="C1195"/>
      <c r="D1195"/>
    </row>
    <row r="1196" spans="2:4" ht="16.5" x14ac:dyDescent="0.3">
      <c r="B1196"/>
      <c r="C1196"/>
      <c r="D1196"/>
    </row>
    <row r="1197" spans="2:4" ht="16.5" x14ac:dyDescent="0.3">
      <c r="B1197"/>
      <c r="C1197"/>
      <c r="D1197"/>
    </row>
    <row r="1198" spans="2:4" ht="16.5" x14ac:dyDescent="0.3">
      <c r="B1198"/>
      <c r="C1198"/>
      <c r="D1198"/>
    </row>
    <row r="1199" spans="2:4" ht="16.5" x14ac:dyDescent="0.3">
      <c r="B1199"/>
      <c r="C1199"/>
      <c r="D1199"/>
    </row>
    <row r="1200" spans="2:4" ht="16.5" x14ac:dyDescent="0.3">
      <c r="B1200"/>
      <c r="C1200"/>
      <c r="D1200"/>
    </row>
    <row r="1201" spans="2:4" ht="16.5" x14ac:dyDescent="0.3">
      <c r="B1201"/>
      <c r="C1201"/>
      <c r="D1201"/>
    </row>
    <row r="1202" spans="2:4" ht="16.5" x14ac:dyDescent="0.3">
      <c r="B1202"/>
      <c r="C1202"/>
      <c r="D1202"/>
    </row>
    <row r="1203" spans="2:4" ht="16.5" x14ac:dyDescent="0.3">
      <c r="B1203"/>
      <c r="C1203"/>
      <c r="D1203"/>
    </row>
    <row r="1204" spans="2:4" ht="16.5" x14ac:dyDescent="0.3">
      <c r="B1204"/>
      <c r="C1204"/>
      <c r="D1204"/>
    </row>
    <row r="1205" spans="2:4" ht="16.5" x14ac:dyDescent="0.3">
      <c r="B1205"/>
      <c r="C1205"/>
      <c r="D1205"/>
    </row>
    <row r="1206" spans="2:4" ht="16.5" x14ac:dyDescent="0.3">
      <c r="B1206"/>
      <c r="C1206"/>
      <c r="D1206"/>
    </row>
    <row r="1207" spans="2:4" ht="16.5" x14ac:dyDescent="0.3">
      <c r="B1207"/>
      <c r="C1207"/>
      <c r="D1207"/>
    </row>
    <row r="1208" spans="2:4" ht="16.5" x14ac:dyDescent="0.3">
      <c r="B1208"/>
      <c r="C1208"/>
      <c r="D1208"/>
    </row>
    <row r="1209" spans="2:4" ht="16.5" x14ac:dyDescent="0.3">
      <c r="B1209"/>
      <c r="C1209"/>
      <c r="D1209"/>
    </row>
    <row r="1210" spans="2:4" ht="16.5" x14ac:dyDescent="0.3">
      <c r="B1210"/>
      <c r="C1210"/>
      <c r="D1210"/>
    </row>
    <row r="1211" spans="2:4" ht="16.5" x14ac:dyDescent="0.3">
      <c r="B1211"/>
      <c r="C1211"/>
      <c r="D1211"/>
    </row>
    <row r="1212" spans="2:4" ht="16.5" x14ac:dyDescent="0.3">
      <c r="B1212"/>
      <c r="C1212"/>
      <c r="D1212"/>
    </row>
    <row r="1213" spans="2:4" ht="16.5" x14ac:dyDescent="0.3">
      <c r="B1213"/>
      <c r="C1213"/>
      <c r="D1213"/>
    </row>
    <row r="1214" spans="2:4" ht="16.5" x14ac:dyDescent="0.3">
      <c r="B1214"/>
      <c r="C1214"/>
      <c r="D1214"/>
    </row>
    <row r="1215" spans="2:4" ht="16.5" x14ac:dyDescent="0.3">
      <c r="B1215"/>
      <c r="C1215"/>
      <c r="D1215"/>
    </row>
    <row r="1216" spans="2:4" ht="16.5" x14ac:dyDescent="0.3">
      <c r="B1216"/>
      <c r="C1216"/>
      <c r="D1216"/>
    </row>
    <row r="1217" spans="2:4" ht="16.5" x14ac:dyDescent="0.3">
      <c r="B1217"/>
      <c r="C1217"/>
      <c r="D1217"/>
    </row>
    <row r="1218" spans="2:4" ht="16.5" x14ac:dyDescent="0.3">
      <c r="B1218"/>
      <c r="C1218"/>
      <c r="D1218"/>
    </row>
    <row r="1219" spans="2:4" ht="16.5" x14ac:dyDescent="0.3">
      <c r="B1219"/>
      <c r="C1219"/>
      <c r="D1219"/>
    </row>
    <row r="1220" spans="2:4" ht="16.5" x14ac:dyDescent="0.3">
      <c r="B1220"/>
      <c r="C1220"/>
      <c r="D1220"/>
    </row>
    <row r="1221" spans="2:4" ht="16.5" x14ac:dyDescent="0.3">
      <c r="B1221"/>
      <c r="C1221"/>
      <c r="D1221"/>
    </row>
    <row r="1222" spans="2:4" ht="16.5" x14ac:dyDescent="0.3">
      <c r="B1222"/>
      <c r="C1222"/>
      <c r="D1222"/>
    </row>
    <row r="1223" spans="2:4" ht="16.5" x14ac:dyDescent="0.3">
      <c r="B1223"/>
      <c r="C1223"/>
      <c r="D1223"/>
    </row>
    <row r="1224" spans="2:4" ht="16.5" x14ac:dyDescent="0.3">
      <c r="B1224"/>
      <c r="C1224"/>
      <c r="D1224"/>
    </row>
    <row r="1225" spans="2:4" ht="16.5" x14ac:dyDescent="0.3">
      <c r="B1225"/>
      <c r="C1225"/>
      <c r="D1225"/>
    </row>
    <row r="1226" spans="2:4" ht="16.5" x14ac:dyDescent="0.3">
      <c r="B1226"/>
      <c r="C1226"/>
      <c r="D1226"/>
    </row>
    <row r="1227" spans="2:4" ht="16.5" x14ac:dyDescent="0.3">
      <c r="B1227"/>
      <c r="C1227"/>
      <c r="D1227"/>
    </row>
    <row r="1228" spans="2:4" ht="16.5" x14ac:dyDescent="0.3">
      <c r="B1228"/>
      <c r="C1228"/>
      <c r="D1228"/>
    </row>
    <row r="1229" spans="2:4" ht="16.5" x14ac:dyDescent="0.3">
      <c r="B1229"/>
      <c r="C1229"/>
      <c r="D1229"/>
    </row>
    <row r="1230" spans="2:4" ht="16.5" x14ac:dyDescent="0.3">
      <c r="B1230"/>
      <c r="C1230"/>
      <c r="D1230"/>
    </row>
    <row r="1231" spans="2:4" ht="16.5" x14ac:dyDescent="0.3">
      <c r="B1231"/>
      <c r="C1231"/>
      <c r="D1231"/>
    </row>
    <row r="1232" spans="2:4" ht="16.5" x14ac:dyDescent="0.3">
      <c r="B1232"/>
      <c r="C1232"/>
      <c r="D1232"/>
    </row>
    <row r="1233" spans="2:4" ht="16.5" x14ac:dyDescent="0.3">
      <c r="B1233"/>
      <c r="C1233"/>
      <c r="D1233"/>
    </row>
    <row r="1234" spans="2:4" ht="16.5" x14ac:dyDescent="0.3">
      <c r="B1234"/>
      <c r="C1234"/>
      <c r="D1234"/>
    </row>
    <row r="1235" spans="2:4" ht="16.5" x14ac:dyDescent="0.3">
      <c r="B1235"/>
      <c r="C1235"/>
      <c r="D1235"/>
    </row>
    <row r="1236" spans="2:4" ht="16.5" x14ac:dyDescent="0.3">
      <c r="B1236"/>
      <c r="C1236"/>
      <c r="D1236"/>
    </row>
    <row r="1237" spans="2:4" ht="16.5" x14ac:dyDescent="0.3">
      <c r="B1237"/>
      <c r="C1237"/>
      <c r="D1237"/>
    </row>
    <row r="1238" spans="2:4" ht="16.5" x14ac:dyDescent="0.3">
      <c r="B1238"/>
      <c r="C1238"/>
      <c r="D1238"/>
    </row>
    <row r="1239" spans="2:4" ht="16.5" x14ac:dyDescent="0.3">
      <c r="B1239"/>
      <c r="C1239"/>
      <c r="D1239"/>
    </row>
    <row r="1240" spans="2:4" ht="16.5" x14ac:dyDescent="0.3">
      <c r="B1240"/>
      <c r="C1240"/>
      <c r="D1240"/>
    </row>
    <row r="1241" spans="2:4" ht="16.5" x14ac:dyDescent="0.3">
      <c r="B1241"/>
      <c r="C1241"/>
      <c r="D1241"/>
    </row>
    <row r="1242" spans="2:4" ht="16.5" x14ac:dyDescent="0.3">
      <c r="B1242"/>
      <c r="C1242"/>
      <c r="D1242"/>
    </row>
    <row r="1243" spans="2:4" ht="16.5" x14ac:dyDescent="0.3">
      <c r="B1243"/>
      <c r="C1243"/>
      <c r="D1243"/>
    </row>
    <row r="1244" spans="2:4" ht="16.5" x14ac:dyDescent="0.3">
      <c r="B1244"/>
      <c r="C1244"/>
      <c r="D1244"/>
    </row>
    <row r="1245" spans="2:4" ht="16.5" x14ac:dyDescent="0.3">
      <c r="B1245"/>
      <c r="C1245"/>
      <c r="D1245"/>
    </row>
    <row r="1246" spans="2:4" ht="16.5" x14ac:dyDescent="0.3">
      <c r="B1246"/>
      <c r="C1246"/>
      <c r="D1246"/>
    </row>
    <row r="1247" spans="2:4" ht="16.5" x14ac:dyDescent="0.3">
      <c r="B1247"/>
      <c r="C1247"/>
      <c r="D1247"/>
    </row>
    <row r="1248" spans="2:4" ht="16.5" x14ac:dyDescent="0.3">
      <c r="B1248"/>
      <c r="C1248"/>
      <c r="D1248"/>
    </row>
    <row r="1249" spans="2:4" ht="16.5" x14ac:dyDescent="0.3">
      <c r="B1249"/>
      <c r="C1249"/>
      <c r="D1249"/>
    </row>
    <row r="1250" spans="2:4" ht="16.5" x14ac:dyDescent="0.3">
      <c r="B1250"/>
      <c r="C1250"/>
      <c r="D1250"/>
    </row>
    <row r="1251" spans="2:4" ht="16.5" x14ac:dyDescent="0.3">
      <c r="B1251"/>
      <c r="C1251"/>
      <c r="D1251"/>
    </row>
    <row r="1252" spans="2:4" ht="16.5" x14ac:dyDescent="0.3">
      <c r="B1252"/>
      <c r="C1252"/>
      <c r="D1252"/>
    </row>
    <row r="1253" spans="2:4" ht="16.5" x14ac:dyDescent="0.3">
      <c r="B1253"/>
      <c r="C1253"/>
      <c r="D1253"/>
    </row>
    <row r="1254" spans="2:4" ht="16.5" x14ac:dyDescent="0.3">
      <c r="B1254"/>
      <c r="C1254"/>
      <c r="D1254"/>
    </row>
    <row r="1255" spans="2:4" ht="16.5" x14ac:dyDescent="0.3">
      <c r="B1255"/>
      <c r="C1255"/>
      <c r="D1255"/>
    </row>
    <row r="1256" spans="2:4" ht="16.5" x14ac:dyDescent="0.3">
      <c r="B1256"/>
      <c r="C1256"/>
      <c r="D1256"/>
    </row>
    <row r="1257" spans="2:4" ht="16.5" x14ac:dyDescent="0.3">
      <c r="B1257"/>
      <c r="C1257"/>
      <c r="D1257"/>
    </row>
    <row r="1258" spans="2:4" ht="16.5" x14ac:dyDescent="0.3">
      <c r="B1258"/>
      <c r="C1258"/>
      <c r="D1258"/>
    </row>
    <row r="1259" spans="2:4" ht="16.5" x14ac:dyDescent="0.3">
      <c r="B1259"/>
      <c r="C1259"/>
      <c r="D1259"/>
    </row>
    <row r="1260" spans="2:4" ht="16.5" x14ac:dyDescent="0.3">
      <c r="B1260"/>
      <c r="C1260"/>
      <c r="D1260"/>
    </row>
    <row r="1261" spans="2:4" ht="16.5" x14ac:dyDescent="0.3">
      <c r="B1261"/>
      <c r="C1261"/>
      <c r="D1261"/>
    </row>
    <row r="1262" spans="2:4" ht="16.5" x14ac:dyDescent="0.3">
      <c r="B1262"/>
      <c r="C1262"/>
      <c r="D1262"/>
    </row>
    <row r="1263" spans="2:4" ht="16.5" x14ac:dyDescent="0.3">
      <c r="B1263"/>
      <c r="C1263"/>
      <c r="D1263"/>
    </row>
    <row r="1264" spans="2:4" ht="16.5" x14ac:dyDescent="0.3">
      <c r="B1264"/>
      <c r="C1264"/>
      <c r="D1264"/>
    </row>
    <row r="1265" spans="2:4" ht="16.5" x14ac:dyDescent="0.3">
      <c r="B1265"/>
      <c r="C1265"/>
      <c r="D1265"/>
    </row>
    <row r="1266" spans="2:4" ht="16.5" x14ac:dyDescent="0.3">
      <c r="B1266"/>
      <c r="C1266"/>
      <c r="D1266"/>
    </row>
    <row r="1267" spans="2:4" ht="16.5" x14ac:dyDescent="0.3">
      <c r="B1267"/>
      <c r="C1267"/>
      <c r="D1267"/>
    </row>
    <row r="1268" spans="2:4" ht="16.5" x14ac:dyDescent="0.3">
      <c r="B1268"/>
      <c r="C1268"/>
      <c r="D1268"/>
    </row>
    <row r="1269" spans="2:4" ht="16.5" x14ac:dyDescent="0.3">
      <c r="B1269"/>
      <c r="C1269"/>
      <c r="D1269"/>
    </row>
    <row r="1270" spans="2:4" ht="16.5" x14ac:dyDescent="0.3">
      <c r="B1270"/>
      <c r="C1270"/>
      <c r="D1270"/>
    </row>
    <row r="1271" spans="2:4" ht="16.5" x14ac:dyDescent="0.3">
      <c r="B1271"/>
      <c r="C1271"/>
      <c r="D1271"/>
    </row>
    <row r="1272" spans="2:4" ht="16.5" x14ac:dyDescent="0.3">
      <c r="B1272"/>
      <c r="C1272"/>
      <c r="D1272"/>
    </row>
    <row r="1273" spans="2:4" ht="16.5" x14ac:dyDescent="0.3">
      <c r="B1273"/>
      <c r="C1273"/>
      <c r="D1273"/>
    </row>
    <row r="1274" spans="2:4" ht="16.5" x14ac:dyDescent="0.3">
      <c r="B1274"/>
      <c r="C1274"/>
      <c r="D1274"/>
    </row>
    <row r="1275" spans="2:4" ht="16.5" x14ac:dyDescent="0.3">
      <c r="B1275"/>
      <c r="C1275"/>
      <c r="D1275"/>
    </row>
    <row r="1276" spans="2:4" ht="16.5" x14ac:dyDescent="0.3">
      <c r="B1276"/>
      <c r="C1276"/>
      <c r="D1276"/>
    </row>
    <row r="1277" spans="2:4" ht="16.5" x14ac:dyDescent="0.3">
      <c r="B1277"/>
      <c r="C1277"/>
      <c r="D1277"/>
    </row>
    <row r="1278" spans="2:4" ht="16.5" x14ac:dyDescent="0.3">
      <c r="B1278"/>
      <c r="C1278"/>
      <c r="D1278"/>
    </row>
    <row r="1279" spans="2:4" ht="16.5" x14ac:dyDescent="0.3">
      <c r="B1279"/>
      <c r="C1279"/>
      <c r="D1279"/>
    </row>
    <row r="1280" spans="2:4" ht="16.5" x14ac:dyDescent="0.3">
      <c r="B1280"/>
      <c r="C1280"/>
      <c r="D1280"/>
    </row>
    <row r="1281" spans="2:4" ht="16.5" x14ac:dyDescent="0.3">
      <c r="B1281"/>
      <c r="C1281"/>
      <c r="D1281"/>
    </row>
    <row r="1282" spans="2:4" ht="16.5" x14ac:dyDescent="0.3">
      <c r="B1282"/>
      <c r="C1282"/>
      <c r="D1282"/>
    </row>
    <row r="1283" spans="2:4" ht="16.5" x14ac:dyDescent="0.3">
      <c r="B1283"/>
      <c r="C1283"/>
      <c r="D1283"/>
    </row>
    <row r="1284" spans="2:4" ht="16.5" x14ac:dyDescent="0.3">
      <c r="B1284"/>
      <c r="C1284"/>
      <c r="D1284"/>
    </row>
    <row r="1285" spans="2:4" ht="16.5" x14ac:dyDescent="0.3">
      <c r="B1285"/>
      <c r="C1285"/>
      <c r="D1285"/>
    </row>
    <row r="1286" spans="2:4" ht="16.5" x14ac:dyDescent="0.3">
      <c r="B1286"/>
      <c r="C1286"/>
      <c r="D1286"/>
    </row>
    <row r="1287" spans="2:4" ht="16.5" x14ac:dyDescent="0.3">
      <c r="B1287"/>
      <c r="C1287"/>
      <c r="D1287"/>
    </row>
    <row r="1288" spans="2:4" ht="16.5" x14ac:dyDescent="0.3">
      <c r="B1288"/>
      <c r="C1288"/>
      <c r="D1288"/>
    </row>
    <row r="1289" spans="2:4" ht="16.5" x14ac:dyDescent="0.3">
      <c r="B1289"/>
      <c r="C1289"/>
      <c r="D1289"/>
    </row>
    <row r="1290" spans="2:4" ht="16.5" x14ac:dyDescent="0.3">
      <c r="B1290"/>
      <c r="C1290"/>
      <c r="D1290"/>
    </row>
    <row r="1291" spans="2:4" ht="16.5" x14ac:dyDescent="0.3">
      <c r="B1291"/>
      <c r="C1291"/>
      <c r="D1291"/>
    </row>
    <row r="1292" spans="2:4" ht="16.5" x14ac:dyDescent="0.3">
      <c r="B1292"/>
      <c r="C1292"/>
      <c r="D1292"/>
    </row>
    <row r="1293" spans="2:4" ht="16.5" x14ac:dyDescent="0.3">
      <c r="B1293"/>
      <c r="C1293"/>
      <c r="D1293"/>
    </row>
    <row r="1294" spans="2:4" ht="16.5" x14ac:dyDescent="0.3">
      <c r="B1294"/>
      <c r="C1294"/>
      <c r="D1294"/>
    </row>
    <row r="1295" spans="2:4" ht="16.5" x14ac:dyDescent="0.3">
      <c r="B1295"/>
      <c r="C1295"/>
      <c r="D1295"/>
    </row>
    <row r="1296" spans="2:4" ht="16.5" x14ac:dyDescent="0.3">
      <c r="B1296"/>
      <c r="C1296"/>
      <c r="D1296"/>
    </row>
    <row r="1297" spans="2:4" ht="16.5" x14ac:dyDescent="0.3">
      <c r="B1297"/>
      <c r="C1297"/>
      <c r="D1297"/>
    </row>
    <row r="1298" spans="2:4" ht="16.5" x14ac:dyDescent="0.3">
      <c r="B1298"/>
      <c r="C1298"/>
      <c r="D1298"/>
    </row>
    <row r="1299" spans="2:4" ht="16.5" x14ac:dyDescent="0.3">
      <c r="B1299"/>
      <c r="C1299"/>
      <c r="D1299"/>
    </row>
    <row r="1300" spans="2:4" ht="16.5" x14ac:dyDescent="0.3">
      <c r="B1300"/>
      <c r="C1300"/>
      <c r="D1300"/>
    </row>
    <row r="1301" spans="2:4" ht="16.5" x14ac:dyDescent="0.3">
      <c r="B1301"/>
      <c r="C1301"/>
      <c r="D1301"/>
    </row>
    <row r="1302" spans="2:4" ht="16.5" x14ac:dyDescent="0.3">
      <c r="B1302"/>
      <c r="C1302"/>
      <c r="D1302"/>
    </row>
    <row r="1303" spans="2:4" ht="16.5" x14ac:dyDescent="0.3">
      <c r="B1303"/>
      <c r="C1303"/>
      <c r="D1303"/>
    </row>
    <row r="1304" spans="2:4" ht="16.5" x14ac:dyDescent="0.3">
      <c r="B1304"/>
      <c r="C1304"/>
      <c r="D1304"/>
    </row>
    <row r="1305" spans="2:4" ht="16.5" x14ac:dyDescent="0.3">
      <c r="B1305"/>
      <c r="C1305"/>
      <c r="D1305"/>
    </row>
    <row r="1306" spans="2:4" ht="16.5" x14ac:dyDescent="0.3">
      <c r="B1306"/>
      <c r="C1306"/>
      <c r="D1306"/>
    </row>
    <row r="1307" spans="2:4" ht="16.5" x14ac:dyDescent="0.3">
      <c r="B1307"/>
      <c r="C1307"/>
      <c r="D1307"/>
    </row>
    <row r="1308" spans="2:4" ht="16.5" x14ac:dyDescent="0.3">
      <c r="B1308"/>
      <c r="C1308"/>
      <c r="D1308"/>
    </row>
    <row r="1309" spans="2:4" ht="16.5" x14ac:dyDescent="0.3">
      <c r="B1309"/>
      <c r="C1309"/>
      <c r="D1309"/>
    </row>
    <row r="1310" spans="2:4" ht="16.5" x14ac:dyDescent="0.3">
      <c r="B1310"/>
      <c r="C1310"/>
      <c r="D1310"/>
    </row>
    <row r="1311" spans="2:4" ht="16.5" x14ac:dyDescent="0.3">
      <c r="B1311"/>
      <c r="C1311"/>
      <c r="D1311"/>
    </row>
    <row r="1312" spans="2:4" ht="16.5" x14ac:dyDescent="0.3">
      <c r="B1312"/>
      <c r="C1312"/>
      <c r="D1312"/>
    </row>
    <row r="1313" spans="2:4" ht="16.5" x14ac:dyDescent="0.3">
      <c r="B1313"/>
      <c r="C1313"/>
      <c r="D1313"/>
    </row>
    <row r="1314" spans="2:4" ht="16.5" x14ac:dyDescent="0.3">
      <c r="B1314"/>
      <c r="C1314"/>
      <c r="D1314"/>
    </row>
    <row r="1315" spans="2:4" ht="16.5" x14ac:dyDescent="0.3">
      <c r="B1315"/>
      <c r="C1315"/>
      <c r="D1315"/>
    </row>
    <row r="1316" spans="2:4" ht="16.5" x14ac:dyDescent="0.3">
      <c r="B1316"/>
      <c r="C1316"/>
      <c r="D1316"/>
    </row>
    <row r="1317" spans="2:4" ht="16.5" x14ac:dyDescent="0.3">
      <c r="B1317"/>
      <c r="C1317"/>
      <c r="D1317"/>
    </row>
    <row r="1318" spans="2:4" ht="16.5" x14ac:dyDescent="0.3">
      <c r="B1318"/>
      <c r="C1318"/>
      <c r="D1318"/>
    </row>
    <row r="1319" spans="2:4" ht="16.5" x14ac:dyDescent="0.3">
      <c r="B1319"/>
      <c r="C1319"/>
      <c r="D1319"/>
    </row>
    <row r="1320" spans="2:4" ht="16.5" x14ac:dyDescent="0.3">
      <c r="B1320"/>
      <c r="C1320"/>
      <c r="D1320"/>
    </row>
    <row r="1321" spans="2:4" ht="16.5" x14ac:dyDescent="0.3">
      <c r="B1321"/>
      <c r="C1321"/>
      <c r="D1321"/>
    </row>
    <row r="1322" spans="2:4" ht="16.5" x14ac:dyDescent="0.3">
      <c r="B1322"/>
      <c r="C1322"/>
      <c r="D1322"/>
    </row>
    <row r="1323" spans="2:4" ht="16.5" x14ac:dyDescent="0.3">
      <c r="B1323"/>
      <c r="C1323"/>
      <c r="D1323"/>
    </row>
    <row r="1324" spans="2:4" ht="16.5" x14ac:dyDescent="0.3">
      <c r="B1324"/>
      <c r="C1324"/>
      <c r="D1324"/>
    </row>
    <row r="1325" spans="2:4" ht="16.5" x14ac:dyDescent="0.3">
      <c r="B1325"/>
      <c r="C1325"/>
      <c r="D1325"/>
    </row>
    <row r="1326" spans="2:4" ht="16.5" x14ac:dyDescent="0.3">
      <c r="B1326"/>
      <c r="C1326"/>
      <c r="D1326"/>
    </row>
    <row r="1327" spans="2:4" ht="16.5" x14ac:dyDescent="0.3">
      <c r="B1327"/>
      <c r="C1327"/>
      <c r="D1327"/>
    </row>
    <row r="1328" spans="2:4" ht="16.5" x14ac:dyDescent="0.3">
      <c r="B1328"/>
      <c r="C1328"/>
      <c r="D1328"/>
    </row>
    <row r="1329" spans="2:4" ht="16.5" x14ac:dyDescent="0.3">
      <c r="B1329"/>
      <c r="C1329"/>
      <c r="D1329"/>
    </row>
    <row r="1330" spans="2:4" ht="16.5" x14ac:dyDescent="0.3">
      <c r="B1330"/>
      <c r="C1330"/>
      <c r="D1330"/>
    </row>
    <row r="1331" spans="2:4" ht="16.5" x14ac:dyDescent="0.3">
      <c r="B1331"/>
      <c r="C1331"/>
      <c r="D1331"/>
    </row>
    <row r="1332" spans="2:4" ht="16.5" x14ac:dyDescent="0.3">
      <c r="B1332"/>
      <c r="C1332"/>
      <c r="D1332"/>
    </row>
    <row r="1333" spans="2:4" ht="16.5" x14ac:dyDescent="0.3">
      <c r="B1333"/>
      <c r="C1333"/>
      <c r="D1333"/>
    </row>
    <row r="1334" spans="2:4" ht="16.5" x14ac:dyDescent="0.3">
      <c r="B1334"/>
      <c r="C1334"/>
      <c r="D1334"/>
    </row>
    <row r="1335" spans="2:4" ht="16.5" x14ac:dyDescent="0.3">
      <c r="B1335"/>
      <c r="C1335"/>
      <c r="D1335"/>
    </row>
    <row r="1336" spans="2:4" ht="16.5" x14ac:dyDescent="0.3">
      <c r="B1336"/>
      <c r="C1336"/>
      <c r="D1336"/>
    </row>
    <row r="1337" spans="2:4" ht="16.5" x14ac:dyDescent="0.3">
      <c r="B1337"/>
      <c r="C1337"/>
      <c r="D1337"/>
    </row>
    <row r="1338" spans="2:4" ht="16.5" x14ac:dyDescent="0.3">
      <c r="B1338"/>
      <c r="C1338"/>
      <c r="D1338"/>
    </row>
    <row r="1339" spans="2:4" ht="16.5" x14ac:dyDescent="0.3">
      <c r="B1339"/>
      <c r="C1339"/>
      <c r="D1339"/>
    </row>
    <row r="1340" spans="2:4" ht="16.5" x14ac:dyDescent="0.3">
      <c r="B1340"/>
      <c r="C1340"/>
      <c r="D1340"/>
    </row>
    <row r="1341" spans="2:4" ht="16.5" x14ac:dyDescent="0.3">
      <c r="B1341"/>
      <c r="C1341"/>
      <c r="D1341"/>
    </row>
    <row r="1342" spans="2:4" ht="16.5" x14ac:dyDescent="0.3">
      <c r="B1342"/>
      <c r="C1342"/>
      <c r="D1342"/>
    </row>
    <row r="1343" spans="2:4" ht="16.5" x14ac:dyDescent="0.3">
      <c r="B1343"/>
      <c r="C1343"/>
      <c r="D1343"/>
    </row>
    <row r="1344" spans="2:4" ht="16.5" x14ac:dyDescent="0.3">
      <c r="B1344"/>
      <c r="C1344"/>
      <c r="D1344"/>
    </row>
    <row r="1345" spans="2:4" ht="16.5" x14ac:dyDescent="0.3">
      <c r="B1345"/>
      <c r="C1345"/>
      <c r="D1345"/>
    </row>
    <row r="1346" spans="2:4" ht="16.5" x14ac:dyDescent="0.3">
      <c r="B1346"/>
      <c r="C1346"/>
      <c r="D1346"/>
    </row>
    <row r="1347" spans="2:4" ht="16.5" x14ac:dyDescent="0.3">
      <c r="B1347"/>
      <c r="C1347"/>
      <c r="D1347"/>
    </row>
    <row r="1348" spans="2:4" ht="16.5" x14ac:dyDescent="0.3">
      <c r="B1348"/>
      <c r="C1348"/>
      <c r="D1348"/>
    </row>
    <row r="1349" spans="2:4" ht="16.5" x14ac:dyDescent="0.3">
      <c r="B1349"/>
      <c r="C1349"/>
      <c r="D1349"/>
    </row>
    <row r="1350" spans="2:4" ht="16.5" x14ac:dyDescent="0.3">
      <c r="B1350"/>
      <c r="C1350"/>
      <c r="D1350"/>
    </row>
    <row r="1351" spans="2:4" ht="16.5" x14ac:dyDescent="0.3">
      <c r="B1351"/>
      <c r="C1351"/>
      <c r="D1351"/>
    </row>
    <row r="1352" spans="2:4" ht="16.5" x14ac:dyDescent="0.3">
      <c r="B1352"/>
      <c r="C1352"/>
      <c r="D1352"/>
    </row>
    <row r="1353" spans="2:4" ht="16.5" x14ac:dyDescent="0.3">
      <c r="B1353"/>
      <c r="C1353"/>
      <c r="D1353"/>
    </row>
    <row r="1354" spans="2:4" ht="16.5" x14ac:dyDescent="0.3">
      <c r="B1354"/>
      <c r="C1354"/>
      <c r="D1354"/>
    </row>
    <row r="1355" spans="2:4" ht="16.5" x14ac:dyDescent="0.3">
      <c r="B1355"/>
      <c r="C1355"/>
      <c r="D1355"/>
    </row>
    <row r="1356" spans="2:4" ht="16.5" x14ac:dyDescent="0.3">
      <c r="B1356"/>
      <c r="C1356"/>
      <c r="D1356"/>
    </row>
    <row r="1357" spans="2:4" ht="16.5" x14ac:dyDescent="0.3">
      <c r="B1357"/>
      <c r="C1357"/>
      <c r="D1357"/>
    </row>
    <row r="1358" spans="2:4" ht="16.5" x14ac:dyDescent="0.3">
      <c r="B1358"/>
      <c r="C1358"/>
      <c r="D1358"/>
    </row>
    <row r="1359" spans="2:4" ht="16.5" x14ac:dyDescent="0.3">
      <c r="B1359"/>
      <c r="C1359"/>
      <c r="D1359"/>
    </row>
    <row r="1360" spans="2:4" ht="16.5" x14ac:dyDescent="0.3">
      <c r="B1360"/>
      <c r="C1360"/>
      <c r="D1360"/>
    </row>
    <row r="1361" spans="2:4" ht="16.5" x14ac:dyDescent="0.3">
      <c r="B1361"/>
      <c r="C1361"/>
      <c r="D1361"/>
    </row>
    <row r="1362" spans="2:4" ht="16.5" x14ac:dyDescent="0.3">
      <c r="B1362"/>
      <c r="C1362"/>
      <c r="D1362"/>
    </row>
    <row r="1363" spans="2:4" ht="16.5" x14ac:dyDescent="0.3">
      <c r="B1363"/>
      <c r="C1363"/>
      <c r="D1363"/>
    </row>
    <row r="1364" spans="2:4" ht="16.5" x14ac:dyDescent="0.3">
      <c r="B1364"/>
      <c r="C1364"/>
      <c r="D1364"/>
    </row>
    <row r="1365" spans="2:4" ht="16.5" x14ac:dyDescent="0.3">
      <c r="B1365"/>
      <c r="C1365"/>
      <c r="D1365"/>
    </row>
    <row r="1366" spans="2:4" ht="16.5" x14ac:dyDescent="0.3">
      <c r="B1366"/>
      <c r="C1366"/>
      <c r="D1366"/>
    </row>
    <row r="1367" spans="2:4" ht="16.5" x14ac:dyDescent="0.3">
      <c r="B1367"/>
      <c r="C1367"/>
      <c r="D1367"/>
    </row>
    <row r="1368" spans="2:4" ht="16.5" x14ac:dyDescent="0.3">
      <c r="B1368"/>
      <c r="C1368"/>
      <c r="D1368"/>
    </row>
    <row r="1369" spans="2:4" ht="16.5" x14ac:dyDescent="0.3">
      <c r="B1369"/>
      <c r="C1369"/>
      <c r="D1369"/>
    </row>
    <row r="1370" spans="2:4" ht="16.5" x14ac:dyDescent="0.3">
      <c r="B1370"/>
      <c r="C1370"/>
      <c r="D1370"/>
    </row>
    <row r="1371" spans="2:4" ht="16.5" x14ac:dyDescent="0.3">
      <c r="B1371"/>
      <c r="C1371"/>
      <c r="D1371"/>
    </row>
    <row r="1372" spans="2:4" ht="16.5" x14ac:dyDescent="0.3">
      <c r="B1372"/>
      <c r="C1372"/>
      <c r="D1372"/>
    </row>
    <row r="1373" spans="2:4" ht="16.5" x14ac:dyDescent="0.3">
      <c r="B1373"/>
      <c r="C1373"/>
      <c r="D1373"/>
    </row>
    <row r="1374" spans="2:4" ht="16.5" x14ac:dyDescent="0.3">
      <c r="B1374"/>
      <c r="C1374"/>
      <c r="D1374"/>
    </row>
    <row r="1375" spans="2:4" ht="16.5" x14ac:dyDescent="0.3">
      <c r="B1375"/>
      <c r="C1375"/>
      <c r="D1375"/>
    </row>
    <row r="1376" spans="2:4" ht="16.5" x14ac:dyDescent="0.3">
      <c r="B1376"/>
      <c r="C1376"/>
      <c r="D1376"/>
    </row>
    <row r="1377" spans="2:4" ht="16.5" x14ac:dyDescent="0.3">
      <c r="B1377"/>
      <c r="C1377"/>
      <c r="D1377"/>
    </row>
    <row r="1378" spans="2:4" ht="16.5" x14ac:dyDescent="0.3">
      <c r="B1378"/>
      <c r="C1378"/>
      <c r="D1378"/>
    </row>
    <row r="1379" spans="2:4" ht="16.5" x14ac:dyDescent="0.3">
      <c r="B1379"/>
      <c r="C1379"/>
      <c r="D1379"/>
    </row>
    <row r="1380" spans="2:4" ht="16.5" x14ac:dyDescent="0.3">
      <c r="B1380"/>
      <c r="C1380"/>
      <c r="D1380"/>
    </row>
    <row r="1381" spans="2:4" ht="16.5" x14ac:dyDescent="0.3">
      <c r="B1381"/>
      <c r="C1381"/>
      <c r="D1381"/>
    </row>
    <row r="1382" spans="2:4" ht="16.5" x14ac:dyDescent="0.3">
      <c r="B1382"/>
      <c r="C1382"/>
      <c r="D1382"/>
    </row>
    <row r="1383" spans="2:4" ht="16.5" x14ac:dyDescent="0.3">
      <c r="B1383"/>
      <c r="C1383"/>
      <c r="D1383"/>
    </row>
    <row r="1384" spans="2:4" ht="16.5" x14ac:dyDescent="0.3">
      <c r="B1384"/>
      <c r="C1384"/>
      <c r="D1384"/>
    </row>
    <row r="1385" spans="2:4" ht="16.5" x14ac:dyDescent="0.3">
      <c r="B1385"/>
      <c r="C1385"/>
      <c r="D1385"/>
    </row>
    <row r="1386" spans="2:4" ht="16.5" x14ac:dyDescent="0.3">
      <c r="B1386"/>
      <c r="C1386"/>
      <c r="D1386"/>
    </row>
    <row r="1387" spans="2:4" ht="16.5" x14ac:dyDescent="0.3">
      <c r="B1387"/>
      <c r="C1387"/>
      <c r="D1387"/>
    </row>
    <row r="1388" spans="2:4" ht="16.5" x14ac:dyDescent="0.3">
      <c r="B1388"/>
      <c r="C1388"/>
      <c r="D1388"/>
    </row>
    <row r="1389" spans="2:4" ht="16.5" x14ac:dyDescent="0.3">
      <c r="B1389"/>
      <c r="C1389"/>
      <c r="D1389"/>
    </row>
    <row r="1390" spans="2:4" ht="16.5" x14ac:dyDescent="0.3">
      <c r="B1390"/>
      <c r="C1390"/>
      <c r="D1390"/>
    </row>
    <row r="1391" spans="2:4" ht="16.5" x14ac:dyDescent="0.3">
      <c r="B1391"/>
      <c r="C1391"/>
      <c r="D1391"/>
    </row>
    <row r="1392" spans="2:4" ht="16.5" x14ac:dyDescent="0.3">
      <c r="B1392"/>
      <c r="C1392"/>
      <c r="D1392"/>
    </row>
    <row r="1393" spans="2:4" ht="16.5" x14ac:dyDescent="0.3">
      <c r="B1393"/>
      <c r="C1393"/>
      <c r="D1393"/>
    </row>
    <row r="1394" spans="2:4" ht="16.5" x14ac:dyDescent="0.3">
      <c r="B1394"/>
      <c r="C1394"/>
      <c r="D1394"/>
    </row>
    <row r="1395" spans="2:4" ht="16.5" x14ac:dyDescent="0.3">
      <c r="B1395"/>
      <c r="C1395"/>
      <c r="D1395"/>
    </row>
    <row r="1396" spans="2:4" ht="16.5" x14ac:dyDescent="0.3">
      <c r="B1396"/>
      <c r="C1396"/>
      <c r="D1396"/>
    </row>
    <row r="1397" spans="2:4" ht="16.5" x14ac:dyDescent="0.3">
      <c r="B1397"/>
      <c r="C1397"/>
      <c r="D1397"/>
    </row>
    <row r="1398" spans="2:4" ht="16.5" x14ac:dyDescent="0.3">
      <c r="B1398"/>
      <c r="C1398"/>
      <c r="D1398"/>
    </row>
    <row r="1399" spans="2:4" ht="16.5" x14ac:dyDescent="0.3">
      <c r="B1399"/>
      <c r="C1399"/>
      <c r="D1399"/>
    </row>
    <row r="1400" spans="2:4" ht="16.5" x14ac:dyDescent="0.3">
      <c r="B1400"/>
      <c r="C1400"/>
      <c r="D1400"/>
    </row>
    <row r="1401" spans="2:4" ht="16.5" x14ac:dyDescent="0.3">
      <c r="B1401"/>
      <c r="C1401"/>
      <c r="D1401"/>
    </row>
    <row r="1402" spans="2:4" ht="16.5" x14ac:dyDescent="0.3">
      <c r="B1402"/>
      <c r="C1402"/>
      <c r="D1402"/>
    </row>
    <row r="1403" spans="2:4" ht="16.5" x14ac:dyDescent="0.3">
      <c r="B1403"/>
      <c r="C1403"/>
      <c r="D1403"/>
    </row>
    <row r="1404" spans="2:4" ht="16.5" x14ac:dyDescent="0.3">
      <c r="B1404"/>
      <c r="C1404"/>
      <c r="D1404"/>
    </row>
    <row r="1405" spans="2:4" ht="16.5" x14ac:dyDescent="0.3">
      <c r="B1405"/>
      <c r="C1405"/>
      <c r="D1405"/>
    </row>
    <row r="1406" spans="2:4" ht="16.5" x14ac:dyDescent="0.3">
      <c r="B1406"/>
      <c r="C1406"/>
      <c r="D1406"/>
    </row>
    <row r="1407" spans="2:4" ht="16.5" x14ac:dyDescent="0.3">
      <c r="B1407"/>
      <c r="C1407"/>
      <c r="D1407"/>
    </row>
    <row r="1408" spans="2:4" ht="16.5" x14ac:dyDescent="0.3">
      <c r="B1408"/>
      <c r="C1408"/>
      <c r="D1408"/>
    </row>
    <row r="1409" spans="2:4" ht="16.5" x14ac:dyDescent="0.3">
      <c r="B1409"/>
      <c r="C1409"/>
      <c r="D1409"/>
    </row>
    <row r="1410" spans="2:4" ht="16.5" x14ac:dyDescent="0.3">
      <c r="B1410"/>
      <c r="C1410"/>
      <c r="D1410"/>
    </row>
    <row r="1411" spans="2:4" ht="16.5" x14ac:dyDescent="0.3">
      <c r="B1411"/>
      <c r="C1411"/>
      <c r="D1411"/>
    </row>
    <row r="1412" spans="2:4" ht="16.5" x14ac:dyDescent="0.3">
      <c r="B1412"/>
      <c r="C1412"/>
      <c r="D1412"/>
    </row>
    <row r="1413" spans="2:4" ht="16.5" x14ac:dyDescent="0.3">
      <c r="B1413"/>
      <c r="C1413"/>
      <c r="D1413"/>
    </row>
    <row r="1414" spans="2:4" ht="16.5" x14ac:dyDescent="0.3">
      <c r="B1414"/>
      <c r="C1414"/>
      <c r="D1414"/>
    </row>
    <row r="1415" spans="2:4" ht="16.5" x14ac:dyDescent="0.3">
      <c r="B1415"/>
      <c r="C1415"/>
      <c r="D1415"/>
    </row>
    <row r="1416" spans="2:4" ht="16.5" x14ac:dyDescent="0.3">
      <c r="B1416"/>
      <c r="C1416"/>
      <c r="D1416"/>
    </row>
    <row r="1417" spans="2:4" ht="16.5" x14ac:dyDescent="0.3">
      <c r="B1417"/>
      <c r="C1417"/>
      <c r="D1417"/>
    </row>
    <row r="1418" spans="2:4" ht="16.5" x14ac:dyDescent="0.3">
      <c r="B1418"/>
      <c r="C1418"/>
      <c r="D1418"/>
    </row>
    <row r="1419" spans="2:4" ht="16.5" x14ac:dyDescent="0.3">
      <c r="B1419"/>
      <c r="C1419"/>
      <c r="D1419"/>
    </row>
    <row r="1420" spans="2:4" ht="16.5" x14ac:dyDescent="0.3">
      <c r="B1420"/>
      <c r="C1420"/>
      <c r="D1420"/>
    </row>
    <row r="1421" spans="2:4" ht="16.5" x14ac:dyDescent="0.3">
      <c r="B1421"/>
      <c r="C1421"/>
      <c r="D1421"/>
    </row>
    <row r="1422" spans="2:4" ht="16.5" x14ac:dyDescent="0.3">
      <c r="B1422"/>
      <c r="C1422"/>
      <c r="D1422"/>
    </row>
    <row r="1423" spans="2:4" ht="16.5" x14ac:dyDescent="0.3">
      <c r="B1423"/>
      <c r="C1423"/>
      <c r="D1423"/>
    </row>
    <row r="1424" spans="2:4" ht="16.5" x14ac:dyDescent="0.3">
      <c r="B1424"/>
      <c r="C1424"/>
      <c r="D1424"/>
    </row>
    <row r="1425" spans="2:4" ht="16.5" x14ac:dyDescent="0.3">
      <c r="B1425"/>
      <c r="C1425"/>
      <c r="D1425"/>
    </row>
    <row r="1426" spans="2:4" ht="16.5" x14ac:dyDescent="0.3">
      <c r="B1426"/>
      <c r="C1426"/>
      <c r="D1426"/>
    </row>
    <row r="1427" spans="2:4" ht="16.5" x14ac:dyDescent="0.3">
      <c r="B1427"/>
      <c r="C1427"/>
      <c r="D1427"/>
    </row>
    <row r="1428" spans="2:4" ht="16.5" x14ac:dyDescent="0.3">
      <c r="B1428"/>
      <c r="C1428"/>
      <c r="D1428"/>
    </row>
    <row r="1429" spans="2:4" ht="16.5" x14ac:dyDescent="0.3">
      <c r="B1429"/>
      <c r="C1429"/>
      <c r="D1429"/>
    </row>
    <row r="1430" spans="2:4" ht="16.5" x14ac:dyDescent="0.3">
      <c r="B1430"/>
      <c r="C1430"/>
      <c r="D1430"/>
    </row>
    <row r="1431" spans="2:4" ht="16.5" x14ac:dyDescent="0.3">
      <c r="B1431"/>
      <c r="C1431"/>
      <c r="D1431"/>
    </row>
    <row r="1432" spans="2:4" ht="16.5" x14ac:dyDescent="0.3">
      <c r="B1432"/>
      <c r="C1432"/>
      <c r="D1432"/>
    </row>
    <row r="1433" spans="2:4" ht="16.5" x14ac:dyDescent="0.3">
      <c r="B1433"/>
      <c r="C1433"/>
      <c r="D1433"/>
    </row>
    <row r="1434" spans="2:4" ht="16.5" x14ac:dyDescent="0.3">
      <c r="B1434"/>
      <c r="C1434"/>
      <c r="D1434"/>
    </row>
    <row r="1435" spans="2:4" ht="16.5" x14ac:dyDescent="0.3">
      <c r="B1435"/>
      <c r="C1435"/>
      <c r="D1435"/>
    </row>
    <row r="1436" spans="2:4" ht="16.5" x14ac:dyDescent="0.3">
      <c r="B1436"/>
      <c r="C1436"/>
      <c r="D1436"/>
    </row>
    <row r="1437" spans="2:4" ht="16.5" x14ac:dyDescent="0.3">
      <c r="B1437"/>
      <c r="C1437"/>
      <c r="D1437"/>
    </row>
    <row r="1438" spans="2:4" ht="16.5" x14ac:dyDescent="0.3">
      <c r="B1438"/>
      <c r="C1438"/>
      <c r="D1438"/>
    </row>
    <row r="1439" spans="2:4" ht="16.5" x14ac:dyDescent="0.3">
      <c r="B1439"/>
      <c r="C1439"/>
      <c r="D1439"/>
    </row>
    <row r="1440" spans="2:4" ht="16.5" x14ac:dyDescent="0.3">
      <c r="B1440"/>
      <c r="C1440"/>
      <c r="D1440"/>
    </row>
    <row r="1441" spans="2:4" ht="16.5" x14ac:dyDescent="0.3">
      <c r="B1441"/>
      <c r="C1441"/>
      <c r="D1441"/>
    </row>
    <row r="1442" spans="2:4" ht="16.5" x14ac:dyDescent="0.3">
      <c r="B1442"/>
      <c r="C1442"/>
      <c r="D1442"/>
    </row>
    <row r="1443" spans="2:4" ht="16.5" x14ac:dyDescent="0.3">
      <c r="B1443"/>
      <c r="C1443"/>
      <c r="D1443"/>
    </row>
    <row r="1444" spans="2:4" ht="16.5" x14ac:dyDescent="0.3">
      <c r="B1444"/>
      <c r="C1444"/>
      <c r="D1444"/>
    </row>
    <row r="1445" spans="2:4" ht="16.5" x14ac:dyDescent="0.3">
      <c r="B1445"/>
      <c r="C1445"/>
      <c r="D1445"/>
    </row>
    <row r="1446" spans="2:4" ht="16.5" x14ac:dyDescent="0.3">
      <c r="B1446"/>
      <c r="C1446"/>
      <c r="D1446"/>
    </row>
    <row r="1447" spans="2:4" ht="16.5" x14ac:dyDescent="0.3">
      <c r="B1447"/>
      <c r="C1447"/>
      <c r="D1447"/>
    </row>
    <row r="1448" spans="2:4" ht="16.5" x14ac:dyDescent="0.3">
      <c r="B1448"/>
      <c r="C1448"/>
      <c r="D1448"/>
    </row>
    <row r="1449" spans="2:4" ht="16.5" x14ac:dyDescent="0.3">
      <c r="B1449"/>
      <c r="C1449"/>
      <c r="D1449"/>
    </row>
    <row r="1450" spans="2:4" ht="16.5" x14ac:dyDescent="0.3">
      <c r="B1450"/>
      <c r="C1450"/>
      <c r="D1450"/>
    </row>
    <row r="1451" spans="2:4" ht="16.5" x14ac:dyDescent="0.3">
      <c r="B1451"/>
      <c r="C1451"/>
      <c r="D1451"/>
    </row>
    <row r="1452" spans="2:4" ht="16.5" x14ac:dyDescent="0.3">
      <c r="B1452"/>
      <c r="C1452"/>
      <c r="D1452"/>
    </row>
    <row r="1453" spans="2:4" ht="16.5" x14ac:dyDescent="0.3">
      <c r="B1453"/>
      <c r="C1453"/>
      <c r="D1453"/>
    </row>
    <row r="1454" spans="2:4" ht="16.5" x14ac:dyDescent="0.3">
      <c r="B1454"/>
      <c r="C1454"/>
      <c r="D1454"/>
    </row>
    <row r="1455" spans="2:4" ht="16.5" x14ac:dyDescent="0.3">
      <c r="B1455"/>
      <c r="C1455"/>
      <c r="D1455"/>
    </row>
    <row r="1456" spans="2:4" ht="16.5" x14ac:dyDescent="0.3">
      <c r="B1456"/>
      <c r="C1456"/>
      <c r="D1456"/>
    </row>
    <row r="1457" spans="2:4" ht="16.5" x14ac:dyDescent="0.3">
      <c r="B1457"/>
      <c r="C1457"/>
      <c r="D1457"/>
    </row>
    <row r="1458" spans="2:4" ht="16.5" x14ac:dyDescent="0.3">
      <c r="B1458"/>
      <c r="C1458"/>
      <c r="D1458"/>
    </row>
    <row r="1459" spans="2:4" ht="16.5" x14ac:dyDescent="0.3">
      <c r="B1459"/>
      <c r="C1459"/>
      <c r="D1459"/>
    </row>
    <row r="1460" spans="2:4" ht="16.5" x14ac:dyDescent="0.3">
      <c r="B1460"/>
      <c r="C1460"/>
      <c r="D1460"/>
    </row>
    <row r="1461" spans="2:4" ht="16.5" x14ac:dyDescent="0.3">
      <c r="B1461"/>
      <c r="C1461"/>
      <c r="D1461"/>
    </row>
    <row r="1462" spans="2:4" ht="16.5" x14ac:dyDescent="0.3">
      <c r="B1462"/>
      <c r="C1462"/>
      <c r="D1462"/>
    </row>
    <row r="1463" spans="2:4" ht="16.5" x14ac:dyDescent="0.3">
      <c r="B1463"/>
      <c r="C1463"/>
      <c r="D1463"/>
    </row>
    <row r="1464" spans="2:4" ht="16.5" x14ac:dyDescent="0.3">
      <c r="B1464"/>
      <c r="C1464"/>
      <c r="D1464"/>
    </row>
    <row r="1465" spans="2:4" ht="16.5" x14ac:dyDescent="0.3">
      <c r="B1465"/>
      <c r="C1465"/>
      <c r="D1465"/>
    </row>
    <row r="1466" spans="2:4" ht="16.5" x14ac:dyDescent="0.3">
      <c r="B1466"/>
      <c r="C1466"/>
      <c r="D1466"/>
    </row>
    <row r="1467" spans="2:4" ht="16.5" x14ac:dyDescent="0.3">
      <c r="B1467"/>
      <c r="C1467"/>
      <c r="D1467"/>
    </row>
    <row r="1468" spans="2:4" ht="16.5" x14ac:dyDescent="0.3">
      <c r="B1468"/>
      <c r="C1468"/>
      <c r="D1468"/>
    </row>
    <row r="1469" spans="2:4" ht="16.5" x14ac:dyDescent="0.3">
      <c r="B1469"/>
      <c r="C1469"/>
      <c r="D1469"/>
    </row>
    <row r="1470" spans="2:4" ht="16.5" x14ac:dyDescent="0.3">
      <c r="B1470"/>
      <c r="C1470"/>
      <c r="D1470"/>
    </row>
    <row r="1471" spans="2:4" ht="16.5" x14ac:dyDescent="0.3">
      <c r="B1471"/>
      <c r="C1471"/>
      <c r="D1471"/>
    </row>
    <row r="1472" spans="2:4" ht="16.5" x14ac:dyDescent="0.3">
      <c r="B1472"/>
      <c r="C1472"/>
      <c r="D1472"/>
    </row>
    <row r="1473" spans="2:4" ht="16.5" x14ac:dyDescent="0.3">
      <c r="B1473"/>
      <c r="C1473"/>
      <c r="D1473"/>
    </row>
    <row r="1474" spans="2:4" ht="16.5" x14ac:dyDescent="0.3">
      <c r="B1474"/>
      <c r="C1474"/>
      <c r="D1474"/>
    </row>
    <row r="1475" spans="2:4" ht="16.5" x14ac:dyDescent="0.3">
      <c r="B1475"/>
      <c r="C1475"/>
      <c r="D1475"/>
    </row>
    <row r="1476" spans="2:4" ht="16.5" x14ac:dyDescent="0.3">
      <c r="B1476"/>
      <c r="C1476"/>
      <c r="D1476"/>
    </row>
    <row r="1477" spans="2:4" ht="16.5" x14ac:dyDescent="0.3">
      <c r="B1477"/>
      <c r="C1477"/>
      <c r="D1477"/>
    </row>
    <row r="1478" spans="2:4" ht="16.5" x14ac:dyDescent="0.3">
      <c r="B1478"/>
      <c r="C1478"/>
      <c r="D1478"/>
    </row>
    <row r="1479" spans="2:4" ht="16.5" x14ac:dyDescent="0.3">
      <c r="B1479"/>
      <c r="C1479"/>
      <c r="D1479"/>
    </row>
    <row r="1480" spans="2:4" ht="16.5" x14ac:dyDescent="0.3">
      <c r="B1480"/>
      <c r="C1480"/>
      <c r="D1480"/>
    </row>
    <row r="1481" spans="2:4" ht="16.5" x14ac:dyDescent="0.3">
      <c r="B1481"/>
      <c r="C1481"/>
      <c r="D1481"/>
    </row>
    <row r="1482" spans="2:4" ht="16.5" x14ac:dyDescent="0.3">
      <c r="B1482"/>
      <c r="C1482"/>
      <c r="D1482"/>
    </row>
    <row r="1483" spans="2:4" ht="16.5" x14ac:dyDescent="0.3">
      <c r="B1483"/>
      <c r="C1483"/>
      <c r="D1483"/>
    </row>
    <row r="1484" spans="2:4" ht="16.5" x14ac:dyDescent="0.3">
      <c r="B1484"/>
      <c r="C1484"/>
      <c r="D1484"/>
    </row>
    <row r="1485" spans="2:4" ht="16.5" x14ac:dyDescent="0.3">
      <c r="B1485"/>
      <c r="C1485"/>
      <c r="D1485"/>
    </row>
    <row r="1486" spans="2:4" ht="16.5" x14ac:dyDescent="0.3">
      <c r="B1486"/>
      <c r="C1486"/>
      <c r="D1486"/>
    </row>
    <row r="1487" spans="2:4" ht="16.5" x14ac:dyDescent="0.3">
      <c r="B1487"/>
      <c r="C1487"/>
      <c r="D1487"/>
    </row>
    <row r="1488" spans="2:4" ht="16.5" x14ac:dyDescent="0.3">
      <c r="B1488"/>
      <c r="C1488"/>
      <c r="D1488"/>
    </row>
    <row r="1489" spans="2:4" ht="16.5" x14ac:dyDescent="0.3">
      <c r="B1489"/>
      <c r="C1489"/>
      <c r="D1489"/>
    </row>
    <row r="1490" spans="2:4" ht="16.5" x14ac:dyDescent="0.3">
      <c r="B1490"/>
      <c r="C1490"/>
      <c r="D1490"/>
    </row>
    <row r="1491" spans="2:4" ht="16.5" x14ac:dyDescent="0.3">
      <c r="B1491"/>
      <c r="C1491"/>
      <c r="D1491"/>
    </row>
    <row r="1492" spans="2:4" ht="16.5" x14ac:dyDescent="0.3">
      <c r="B1492"/>
      <c r="C1492"/>
      <c r="D1492"/>
    </row>
    <row r="1493" spans="2:4" ht="16.5" x14ac:dyDescent="0.3">
      <c r="B1493"/>
      <c r="C1493"/>
      <c r="D1493"/>
    </row>
    <row r="1494" spans="2:4" ht="16.5" x14ac:dyDescent="0.3">
      <c r="B1494"/>
      <c r="C1494"/>
      <c r="D1494"/>
    </row>
    <row r="1495" spans="2:4" ht="16.5" x14ac:dyDescent="0.3">
      <c r="B1495"/>
      <c r="C1495"/>
      <c r="D1495"/>
    </row>
    <row r="1496" spans="2:4" ht="16.5" x14ac:dyDescent="0.3">
      <c r="B1496"/>
      <c r="C1496"/>
      <c r="D1496"/>
    </row>
    <row r="1497" spans="2:4" ht="16.5" x14ac:dyDescent="0.3">
      <c r="B1497"/>
      <c r="C1497"/>
      <c r="D1497"/>
    </row>
    <row r="1498" spans="2:4" ht="16.5" x14ac:dyDescent="0.3">
      <c r="B1498"/>
      <c r="C1498"/>
      <c r="D1498"/>
    </row>
    <row r="1499" spans="2:4" ht="16.5" x14ac:dyDescent="0.3">
      <c r="B1499"/>
      <c r="C1499"/>
      <c r="D1499"/>
    </row>
    <row r="1500" spans="2:4" ht="16.5" x14ac:dyDescent="0.3">
      <c r="B1500"/>
      <c r="C1500"/>
      <c r="D1500"/>
    </row>
    <row r="1501" spans="2:4" ht="16.5" x14ac:dyDescent="0.3">
      <c r="B1501"/>
      <c r="C1501"/>
      <c r="D1501"/>
    </row>
    <row r="1502" spans="2:4" ht="16.5" x14ac:dyDescent="0.3">
      <c r="B1502"/>
      <c r="C1502"/>
      <c r="D1502"/>
    </row>
    <row r="1503" spans="2:4" ht="16.5" x14ac:dyDescent="0.3">
      <c r="B1503"/>
      <c r="C1503"/>
      <c r="D1503"/>
    </row>
    <row r="1504" spans="2:4" ht="16.5" x14ac:dyDescent="0.3">
      <c r="B1504"/>
      <c r="C1504"/>
      <c r="D1504"/>
    </row>
    <row r="1505" spans="2:4" ht="16.5" x14ac:dyDescent="0.3">
      <c r="B1505"/>
      <c r="C1505"/>
      <c r="D1505"/>
    </row>
    <row r="1506" spans="2:4" ht="16.5" x14ac:dyDescent="0.3">
      <c r="B1506"/>
      <c r="C1506"/>
      <c r="D1506"/>
    </row>
    <row r="1507" spans="2:4" ht="16.5" x14ac:dyDescent="0.3">
      <c r="B1507"/>
      <c r="C1507"/>
      <c r="D1507"/>
    </row>
    <row r="1508" spans="2:4" ht="16.5" x14ac:dyDescent="0.3">
      <c r="B1508"/>
      <c r="C1508"/>
      <c r="D1508"/>
    </row>
    <row r="1509" spans="2:4" ht="16.5" x14ac:dyDescent="0.3">
      <c r="B1509"/>
      <c r="C1509"/>
      <c r="D1509"/>
    </row>
    <row r="1510" spans="2:4" ht="16.5" x14ac:dyDescent="0.3">
      <c r="B1510"/>
      <c r="C1510"/>
      <c r="D1510"/>
    </row>
    <row r="1511" spans="2:4" ht="16.5" x14ac:dyDescent="0.3">
      <c r="B1511"/>
      <c r="C1511"/>
      <c r="D1511"/>
    </row>
    <row r="1512" spans="2:4" ht="16.5" x14ac:dyDescent="0.3">
      <c r="B1512"/>
      <c r="C1512"/>
      <c r="D1512"/>
    </row>
    <row r="1513" spans="2:4" ht="16.5" x14ac:dyDescent="0.3">
      <c r="B1513"/>
      <c r="C1513"/>
      <c r="D1513"/>
    </row>
    <row r="1514" spans="2:4" ht="16.5" x14ac:dyDescent="0.3">
      <c r="B1514"/>
      <c r="C1514"/>
      <c r="D1514"/>
    </row>
    <row r="1515" spans="2:4" ht="16.5" x14ac:dyDescent="0.3">
      <c r="B1515"/>
      <c r="C1515"/>
      <c r="D1515"/>
    </row>
    <row r="1516" spans="2:4" ht="16.5" x14ac:dyDescent="0.3">
      <c r="B1516"/>
      <c r="C1516"/>
      <c r="D1516"/>
    </row>
    <row r="1517" spans="2:4" ht="16.5" x14ac:dyDescent="0.3">
      <c r="B1517"/>
      <c r="C1517"/>
      <c r="D1517"/>
    </row>
    <row r="1518" spans="2:4" ht="16.5" x14ac:dyDescent="0.3">
      <c r="B1518"/>
      <c r="C1518"/>
      <c r="D1518"/>
    </row>
    <row r="1519" spans="2:4" ht="16.5" x14ac:dyDescent="0.3">
      <c r="B1519"/>
      <c r="C1519"/>
      <c r="D1519"/>
    </row>
    <row r="1520" spans="2:4" ht="16.5" x14ac:dyDescent="0.3">
      <c r="B1520"/>
      <c r="C1520"/>
      <c r="D1520"/>
    </row>
    <row r="1521" spans="2:4" ht="16.5" x14ac:dyDescent="0.3">
      <c r="B1521"/>
      <c r="C1521"/>
      <c r="D1521"/>
    </row>
    <row r="1522" spans="2:4" ht="16.5" x14ac:dyDescent="0.3">
      <c r="B1522"/>
      <c r="C1522"/>
      <c r="D1522"/>
    </row>
    <row r="1523" spans="2:4" ht="16.5" x14ac:dyDescent="0.3">
      <c r="B1523"/>
      <c r="C1523"/>
      <c r="D1523"/>
    </row>
    <row r="1524" spans="2:4" ht="16.5" x14ac:dyDescent="0.3">
      <c r="B1524"/>
      <c r="C1524"/>
      <c r="D1524"/>
    </row>
    <row r="1525" spans="2:4" ht="16.5" x14ac:dyDescent="0.3">
      <c r="B1525"/>
      <c r="C1525"/>
      <c r="D1525"/>
    </row>
    <row r="1526" spans="2:4" ht="16.5" x14ac:dyDescent="0.3">
      <c r="B1526"/>
      <c r="C1526"/>
      <c r="D1526"/>
    </row>
    <row r="1527" spans="2:4" ht="16.5" x14ac:dyDescent="0.3">
      <c r="B1527"/>
      <c r="C1527"/>
      <c r="D1527"/>
    </row>
    <row r="1528" spans="2:4" ht="16.5" x14ac:dyDescent="0.3">
      <c r="B1528"/>
      <c r="C1528"/>
      <c r="D1528"/>
    </row>
    <row r="1529" spans="2:4" ht="16.5" x14ac:dyDescent="0.3">
      <c r="B1529"/>
      <c r="C1529"/>
      <c r="D1529"/>
    </row>
    <row r="1530" spans="2:4" ht="16.5" x14ac:dyDescent="0.3">
      <c r="B1530"/>
      <c r="C1530"/>
      <c r="D1530"/>
    </row>
    <row r="1531" spans="2:4" ht="16.5" x14ac:dyDescent="0.3">
      <c r="B1531"/>
      <c r="C1531"/>
      <c r="D1531"/>
    </row>
    <row r="1532" spans="2:4" ht="16.5" x14ac:dyDescent="0.3">
      <c r="B1532"/>
      <c r="C1532"/>
      <c r="D1532"/>
    </row>
    <row r="1533" spans="2:4" ht="16.5" x14ac:dyDescent="0.3">
      <c r="B1533"/>
      <c r="C1533"/>
      <c r="D1533"/>
    </row>
    <row r="1534" spans="2:4" ht="16.5" x14ac:dyDescent="0.3">
      <c r="B1534"/>
      <c r="C1534"/>
      <c r="D1534"/>
    </row>
    <row r="1535" spans="2:4" ht="16.5" x14ac:dyDescent="0.3">
      <c r="B1535"/>
      <c r="C1535"/>
      <c r="D1535"/>
    </row>
    <row r="1536" spans="2:4" ht="16.5" x14ac:dyDescent="0.3">
      <c r="B1536"/>
      <c r="C1536"/>
      <c r="D1536"/>
    </row>
    <row r="1537" spans="2:4" ht="16.5" x14ac:dyDescent="0.3">
      <c r="B1537"/>
      <c r="C1537"/>
      <c r="D1537"/>
    </row>
    <row r="1538" spans="2:4" ht="16.5" x14ac:dyDescent="0.3">
      <c r="B1538"/>
      <c r="C1538"/>
      <c r="D1538"/>
    </row>
    <row r="1539" spans="2:4" ht="16.5" x14ac:dyDescent="0.3">
      <c r="B1539"/>
      <c r="C1539"/>
      <c r="D1539"/>
    </row>
    <row r="1540" spans="2:4" ht="16.5" x14ac:dyDescent="0.3">
      <c r="B1540"/>
      <c r="C1540"/>
      <c r="D1540"/>
    </row>
    <row r="1541" spans="2:4" ht="16.5" x14ac:dyDescent="0.3">
      <c r="B1541"/>
      <c r="C1541"/>
      <c r="D1541"/>
    </row>
    <row r="1542" spans="2:4" ht="16.5" x14ac:dyDescent="0.3">
      <c r="B1542"/>
      <c r="C1542"/>
      <c r="D1542"/>
    </row>
    <row r="1543" spans="2:4" ht="16.5" x14ac:dyDescent="0.3">
      <c r="B1543"/>
      <c r="C1543"/>
      <c r="D1543"/>
    </row>
    <row r="1544" spans="2:4" ht="16.5" x14ac:dyDescent="0.3">
      <c r="B1544"/>
      <c r="C1544"/>
      <c r="D1544"/>
    </row>
    <row r="1545" spans="2:4" ht="16.5" x14ac:dyDescent="0.3">
      <c r="B1545"/>
      <c r="C1545"/>
      <c r="D1545"/>
    </row>
    <row r="1546" spans="2:4" ht="16.5" x14ac:dyDescent="0.3">
      <c r="B1546"/>
      <c r="C1546"/>
      <c r="D1546"/>
    </row>
    <row r="1547" spans="2:4" ht="16.5" x14ac:dyDescent="0.3">
      <c r="B1547"/>
      <c r="C1547"/>
      <c r="D1547"/>
    </row>
    <row r="1548" spans="2:4" ht="16.5" x14ac:dyDescent="0.3">
      <c r="B1548"/>
      <c r="C1548"/>
      <c r="D1548"/>
    </row>
    <row r="1549" spans="2:4" ht="16.5" x14ac:dyDescent="0.3">
      <c r="B1549"/>
      <c r="C1549"/>
      <c r="D1549"/>
    </row>
    <row r="1550" spans="2:4" ht="16.5" x14ac:dyDescent="0.3">
      <c r="B1550"/>
      <c r="C1550"/>
      <c r="D1550"/>
    </row>
    <row r="1551" spans="2:4" ht="16.5" x14ac:dyDescent="0.3">
      <c r="B1551"/>
      <c r="C1551"/>
      <c r="D1551"/>
    </row>
    <row r="1552" spans="2:4" ht="16.5" x14ac:dyDescent="0.3">
      <c r="B1552"/>
      <c r="C1552"/>
      <c r="D1552"/>
    </row>
    <row r="1553" spans="2:4" ht="16.5" x14ac:dyDescent="0.3">
      <c r="B1553"/>
      <c r="C1553"/>
      <c r="D1553"/>
    </row>
    <row r="1554" spans="2:4" ht="16.5" x14ac:dyDescent="0.3">
      <c r="B1554"/>
      <c r="C1554"/>
      <c r="D1554"/>
    </row>
    <row r="1555" spans="2:4" ht="16.5" x14ac:dyDescent="0.3">
      <c r="B1555"/>
      <c r="C1555"/>
      <c r="D1555"/>
    </row>
    <row r="1556" spans="2:4" ht="16.5" x14ac:dyDescent="0.3">
      <c r="B1556"/>
      <c r="C1556"/>
      <c r="D1556"/>
    </row>
    <row r="1557" spans="2:4" ht="16.5" x14ac:dyDescent="0.3">
      <c r="B1557"/>
      <c r="C1557"/>
      <c r="D1557"/>
    </row>
    <row r="1558" spans="2:4" ht="16.5" x14ac:dyDescent="0.3">
      <c r="B1558"/>
      <c r="C1558"/>
      <c r="D1558"/>
    </row>
    <row r="1559" spans="2:4" ht="16.5" x14ac:dyDescent="0.3">
      <c r="B1559"/>
      <c r="C1559"/>
      <c r="D1559"/>
    </row>
    <row r="1560" spans="2:4" ht="16.5" x14ac:dyDescent="0.3">
      <c r="B1560"/>
      <c r="C1560"/>
      <c r="D1560"/>
    </row>
    <row r="1561" spans="2:4" ht="16.5" x14ac:dyDescent="0.3">
      <c r="B1561"/>
      <c r="C1561"/>
      <c r="D1561"/>
    </row>
    <row r="1562" spans="2:4" ht="16.5" x14ac:dyDescent="0.3">
      <c r="B1562"/>
      <c r="C1562"/>
      <c r="D1562"/>
    </row>
    <row r="1563" spans="2:4" ht="16.5" x14ac:dyDescent="0.3">
      <c r="B1563"/>
      <c r="C1563"/>
      <c r="D1563"/>
    </row>
    <row r="1564" spans="2:4" ht="16.5" x14ac:dyDescent="0.3">
      <c r="B1564"/>
      <c r="C1564"/>
      <c r="D1564"/>
    </row>
    <row r="1565" spans="2:4" ht="16.5" x14ac:dyDescent="0.3">
      <c r="B1565"/>
      <c r="C1565"/>
      <c r="D1565"/>
    </row>
    <row r="1566" spans="2:4" ht="16.5" x14ac:dyDescent="0.3">
      <c r="B1566"/>
      <c r="C1566"/>
      <c r="D1566"/>
    </row>
    <row r="1567" spans="2:4" ht="16.5" x14ac:dyDescent="0.3">
      <c r="B1567"/>
      <c r="C1567"/>
      <c r="D1567"/>
    </row>
    <row r="1568" spans="2:4" ht="16.5" x14ac:dyDescent="0.3">
      <c r="B1568"/>
      <c r="C1568"/>
      <c r="D1568"/>
    </row>
    <row r="1569" spans="2:4" ht="16.5" x14ac:dyDescent="0.3">
      <c r="B1569"/>
      <c r="C1569"/>
      <c r="D1569"/>
    </row>
    <row r="1570" spans="2:4" ht="16.5" x14ac:dyDescent="0.3">
      <c r="B1570"/>
      <c r="C1570"/>
      <c r="D1570"/>
    </row>
    <row r="1571" spans="2:4" ht="16.5" x14ac:dyDescent="0.3">
      <c r="B1571"/>
      <c r="C1571"/>
      <c r="D1571"/>
    </row>
    <row r="1572" spans="2:4" ht="16.5" x14ac:dyDescent="0.3">
      <c r="B1572"/>
      <c r="C1572"/>
      <c r="D1572"/>
    </row>
    <row r="1573" spans="2:4" ht="16.5" x14ac:dyDescent="0.3">
      <c r="B1573"/>
      <c r="C1573"/>
      <c r="D1573"/>
    </row>
    <row r="1574" spans="2:4" ht="16.5" x14ac:dyDescent="0.3">
      <c r="B1574"/>
      <c r="C1574"/>
      <c r="D1574"/>
    </row>
    <row r="1575" spans="2:4" ht="16.5" x14ac:dyDescent="0.3">
      <c r="B1575"/>
      <c r="C1575"/>
      <c r="D1575"/>
    </row>
    <row r="1576" spans="2:4" ht="16.5" x14ac:dyDescent="0.3">
      <c r="B1576"/>
      <c r="C1576"/>
      <c r="D1576"/>
    </row>
    <row r="1577" spans="2:4" ht="16.5" x14ac:dyDescent="0.3">
      <c r="B1577"/>
      <c r="C1577"/>
      <c r="D1577"/>
    </row>
    <row r="1578" spans="2:4" ht="16.5" x14ac:dyDescent="0.3">
      <c r="B1578"/>
      <c r="C1578"/>
      <c r="D1578"/>
    </row>
    <row r="1579" spans="2:4" ht="16.5" x14ac:dyDescent="0.3">
      <c r="B1579"/>
      <c r="C1579"/>
      <c r="D1579"/>
    </row>
    <row r="1580" spans="2:4" ht="16.5" x14ac:dyDescent="0.3">
      <c r="B1580"/>
      <c r="C1580"/>
      <c r="D1580"/>
    </row>
    <row r="1581" spans="2:4" ht="16.5" x14ac:dyDescent="0.3">
      <c r="B1581"/>
      <c r="C1581"/>
      <c r="D1581"/>
    </row>
    <row r="1582" spans="2:4" ht="16.5" x14ac:dyDescent="0.3">
      <c r="B1582"/>
      <c r="C1582"/>
      <c r="D1582"/>
    </row>
    <row r="1583" spans="2:4" ht="16.5" x14ac:dyDescent="0.3">
      <c r="B1583"/>
      <c r="C1583"/>
      <c r="D1583"/>
    </row>
    <row r="1584" spans="2:4" ht="16.5" x14ac:dyDescent="0.3">
      <c r="B1584"/>
      <c r="C1584"/>
      <c r="D1584"/>
    </row>
    <row r="1585" spans="2:4" ht="16.5" x14ac:dyDescent="0.3">
      <c r="B1585"/>
      <c r="C1585"/>
      <c r="D1585"/>
    </row>
    <row r="1586" spans="2:4" ht="16.5" x14ac:dyDescent="0.3">
      <c r="B1586"/>
      <c r="C1586"/>
      <c r="D1586"/>
    </row>
    <row r="1587" spans="2:4" ht="16.5" x14ac:dyDescent="0.3">
      <c r="B1587"/>
      <c r="C1587"/>
      <c r="D1587"/>
    </row>
    <row r="1588" spans="2:4" ht="16.5" x14ac:dyDescent="0.3">
      <c r="B1588"/>
      <c r="C1588"/>
      <c r="D1588"/>
    </row>
    <row r="1589" spans="2:4" ht="16.5" x14ac:dyDescent="0.3">
      <c r="B1589"/>
      <c r="C1589"/>
      <c r="D1589"/>
    </row>
    <row r="1590" spans="2:4" ht="16.5" x14ac:dyDescent="0.3">
      <c r="B1590"/>
      <c r="C1590"/>
      <c r="D1590"/>
    </row>
    <row r="1591" spans="2:4" ht="16.5" x14ac:dyDescent="0.3">
      <c r="B1591"/>
      <c r="C1591"/>
      <c r="D1591"/>
    </row>
    <row r="1592" spans="2:4" ht="16.5" x14ac:dyDescent="0.3">
      <c r="B1592"/>
      <c r="C1592"/>
      <c r="D1592"/>
    </row>
    <row r="1593" spans="2:4" ht="16.5" x14ac:dyDescent="0.3">
      <c r="B1593"/>
      <c r="C1593"/>
      <c r="D1593"/>
    </row>
    <row r="1594" spans="2:4" ht="16.5" x14ac:dyDescent="0.3">
      <c r="B1594"/>
      <c r="C1594"/>
      <c r="D1594"/>
    </row>
    <row r="1595" spans="2:4" ht="16.5" x14ac:dyDescent="0.3">
      <c r="B1595"/>
      <c r="C1595"/>
      <c r="D1595"/>
    </row>
    <row r="1596" spans="2:4" ht="16.5" x14ac:dyDescent="0.3">
      <c r="B1596"/>
      <c r="C1596"/>
      <c r="D1596"/>
    </row>
    <row r="1597" spans="2:4" ht="16.5" x14ac:dyDescent="0.3">
      <c r="B1597"/>
      <c r="C1597"/>
      <c r="D1597"/>
    </row>
    <row r="1598" spans="2:4" ht="16.5" x14ac:dyDescent="0.3">
      <c r="B1598"/>
      <c r="C1598"/>
      <c r="D1598"/>
    </row>
    <row r="1599" spans="2:4" ht="16.5" x14ac:dyDescent="0.3">
      <c r="B1599"/>
      <c r="C1599"/>
      <c r="D1599"/>
    </row>
    <row r="1600" spans="2:4" ht="16.5" x14ac:dyDescent="0.3">
      <c r="B1600"/>
      <c r="C1600"/>
      <c r="D1600"/>
    </row>
    <row r="1601" spans="2:4" ht="16.5" x14ac:dyDescent="0.3">
      <c r="B1601"/>
      <c r="C1601"/>
      <c r="D1601"/>
    </row>
    <row r="1602" spans="2:4" ht="16.5" x14ac:dyDescent="0.3">
      <c r="B1602"/>
      <c r="C1602"/>
      <c r="D1602"/>
    </row>
    <row r="1603" spans="2:4" ht="16.5" x14ac:dyDescent="0.3">
      <c r="B1603"/>
      <c r="C1603"/>
      <c r="D1603"/>
    </row>
    <row r="1604" spans="2:4" ht="16.5" x14ac:dyDescent="0.3">
      <c r="B1604"/>
      <c r="C1604"/>
      <c r="D1604"/>
    </row>
    <row r="1605" spans="2:4" ht="16.5" x14ac:dyDescent="0.3">
      <c r="B1605"/>
      <c r="C1605"/>
      <c r="D1605"/>
    </row>
    <row r="1606" spans="2:4" ht="16.5" x14ac:dyDescent="0.3">
      <c r="B1606"/>
      <c r="C1606"/>
      <c r="D1606"/>
    </row>
    <row r="1607" spans="2:4" ht="16.5" x14ac:dyDescent="0.3">
      <c r="B1607"/>
      <c r="C1607"/>
      <c r="D1607"/>
    </row>
    <row r="1608" spans="2:4" ht="16.5" x14ac:dyDescent="0.3">
      <c r="B1608"/>
      <c r="C1608"/>
      <c r="D1608"/>
    </row>
    <row r="1609" spans="2:4" ht="16.5" x14ac:dyDescent="0.3">
      <c r="B1609"/>
      <c r="C1609"/>
      <c r="D1609"/>
    </row>
    <row r="1610" spans="2:4" ht="16.5" x14ac:dyDescent="0.3">
      <c r="B1610"/>
      <c r="C1610"/>
      <c r="D1610"/>
    </row>
    <row r="1611" spans="2:4" ht="16.5" x14ac:dyDescent="0.3">
      <c r="B1611"/>
      <c r="C1611"/>
      <c r="D1611"/>
    </row>
    <row r="1612" spans="2:4" ht="16.5" x14ac:dyDescent="0.3">
      <c r="B1612"/>
      <c r="C1612"/>
      <c r="D1612"/>
    </row>
    <row r="1613" spans="2:4" ht="16.5" x14ac:dyDescent="0.3">
      <c r="B1613"/>
      <c r="C1613"/>
      <c r="D1613"/>
    </row>
    <row r="1614" spans="2:4" ht="16.5" x14ac:dyDescent="0.3">
      <c r="B1614"/>
      <c r="C1614"/>
      <c r="D1614"/>
    </row>
    <row r="1615" spans="2:4" ht="16.5" x14ac:dyDescent="0.3">
      <c r="B1615"/>
      <c r="C1615"/>
      <c r="D1615"/>
    </row>
    <row r="1616" spans="2:4" ht="16.5" x14ac:dyDescent="0.3">
      <c r="B1616"/>
      <c r="C1616"/>
      <c r="D1616"/>
    </row>
    <row r="1617" spans="2:4" ht="16.5" x14ac:dyDescent="0.3">
      <c r="B1617"/>
      <c r="C1617"/>
      <c r="D1617"/>
    </row>
    <row r="1618" spans="2:4" ht="16.5" x14ac:dyDescent="0.3">
      <c r="B1618"/>
      <c r="C1618"/>
      <c r="D1618"/>
    </row>
    <row r="1619" spans="2:4" ht="16.5" x14ac:dyDescent="0.3">
      <c r="B1619"/>
      <c r="C1619"/>
      <c r="D1619"/>
    </row>
    <row r="1620" spans="2:4" ht="16.5" x14ac:dyDescent="0.3">
      <c r="B1620"/>
      <c r="C1620"/>
      <c r="D1620"/>
    </row>
    <row r="1621" spans="2:4" ht="16.5" x14ac:dyDescent="0.3">
      <c r="B1621"/>
      <c r="C1621"/>
      <c r="D1621"/>
    </row>
    <row r="1622" spans="2:4" ht="16.5" x14ac:dyDescent="0.3">
      <c r="B1622"/>
      <c r="C1622"/>
      <c r="D1622"/>
    </row>
    <row r="1623" spans="2:4" ht="16.5" x14ac:dyDescent="0.3">
      <c r="B1623"/>
      <c r="C1623"/>
      <c r="D1623"/>
    </row>
    <row r="1624" spans="2:4" ht="16.5" x14ac:dyDescent="0.3">
      <c r="B1624"/>
      <c r="C1624"/>
      <c r="D1624"/>
    </row>
    <row r="1625" spans="2:4" ht="16.5" x14ac:dyDescent="0.3">
      <c r="B1625"/>
      <c r="C1625"/>
      <c r="D1625"/>
    </row>
    <row r="1626" spans="2:4" ht="16.5" x14ac:dyDescent="0.3">
      <c r="B1626"/>
      <c r="C1626"/>
      <c r="D1626"/>
    </row>
    <row r="1627" spans="2:4" ht="16.5" x14ac:dyDescent="0.3">
      <c r="B1627"/>
      <c r="C1627"/>
      <c r="D1627"/>
    </row>
    <row r="1628" spans="2:4" ht="16.5" x14ac:dyDescent="0.3">
      <c r="B1628"/>
      <c r="C1628"/>
      <c r="D1628"/>
    </row>
    <row r="1629" spans="2:4" ht="16.5" x14ac:dyDescent="0.3">
      <c r="B1629"/>
      <c r="C1629"/>
      <c r="D1629"/>
    </row>
    <row r="1630" spans="2:4" ht="16.5" x14ac:dyDescent="0.3">
      <c r="B1630"/>
      <c r="C1630"/>
      <c r="D1630"/>
    </row>
    <row r="1631" spans="2:4" ht="16.5" x14ac:dyDescent="0.3">
      <c r="B1631"/>
      <c r="C1631"/>
      <c r="D1631"/>
    </row>
    <row r="1632" spans="2:4" ht="16.5" x14ac:dyDescent="0.3">
      <c r="B1632"/>
      <c r="C1632"/>
      <c r="D1632"/>
    </row>
    <row r="1633" spans="2:4" ht="16.5" x14ac:dyDescent="0.3">
      <c r="B1633"/>
      <c r="C1633"/>
      <c r="D1633"/>
    </row>
    <row r="1634" spans="2:4" ht="16.5" x14ac:dyDescent="0.3">
      <c r="B1634"/>
      <c r="C1634"/>
      <c r="D1634"/>
    </row>
    <row r="1635" spans="2:4" ht="16.5" x14ac:dyDescent="0.3">
      <c r="B1635"/>
      <c r="C1635"/>
      <c r="D1635"/>
    </row>
    <row r="1636" spans="2:4" ht="16.5" x14ac:dyDescent="0.3">
      <c r="B1636"/>
      <c r="C1636"/>
      <c r="D1636"/>
    </row>
    <row r="1637" spans="2:4" ht="16.5" x14ac:dyDescent="0.3">
      <c r="B1637"/>
      <c r="C1637"/>
      <c r="D1637"/>
    </row>
    <row r="1638" spans="2:4" ht="16.5" x14ac:dyDescent="0.3">
      <c r="B1638"/>
      <c r="C1638"/>
      <c r="D1638"/>
    </row>
    <row r="1639" spans="2:4" ht="16.5" x14ac:dyDescent="0.3">
      <c r="B1639"/>
      <c r="C1639"/>
      <c r="D1639"/>
    </row>
    <row r="1640" spans="2:4" ht="16.5" x14ac:dyDescent="0.3">
      <c r="B1640"/>
      <c r="C1640"/>
      <c r="D1640"/>
    </row>
    <row r="1641" spans="2:4" ht="16.5" x14ac:dyDescent="0.3">
      <c r="B1641"/>
      <c r="C1641"/>
      <c r="D1641"/>
    </row>
    <row r="1642" spans="2:4" ht="16.5" x14ac:dyDescent="0.3">
      <c r="B1642"/>
      <c r="C1642"/>
      <c r="D1642"/>
    </row>
    <row r="1643" spans="2:4" ht="16.5" x14ac:dyDescent="0.3">
      <c r="B1643"/>
      <c r="C1643"/>
      <c r="D1643"/>
    </row>
    <row r="1644" spans="2:4" ht="16.5" x14ac:dyDescent="0.3">
      <c r="B1644"/>
      <c r="C1644"/>
      <c r="D1644"/>
    </row>
    <row r="1645" spans="2:4" ht="16.5" x14ac:dyDescent="0.3">
      <c r="B1645"/>
      <c r="C1645"/>
      <c r="D1645"/>
    </row>
    <row r="1646" spans="2:4" ht="16.5" x14ac:dyDescent="0.3">
      <c r="B1646"/>
      <c r="C1646"/>
      <c r="D1646"/>
    </row>
    <row r="1647" spans="2:4" ht="16.5" x14ac:dyDescent="0.3">
      <c r="B1647"/>
      <c r="C1647"/>
      <c r="D1647"/>
    </row>
    <row r="1648" spans="2:4" ht="16.5" x14ac:dyDescent="0.3">
      <c r="B1648"/>
      <c r="C1648"/>
      <c r="D1648"/>
    </row>
    <row r="1649" spans="2:4" ht="16.5" x14ac:dyDescent="0.3">
      <c r="B1649"/>
      <c r="C1649"/>
      <c r="D1649"/>
    </row>
    <row r="1650" spans="2:4" ht="16.5" x14ac:dyDescent="0.3">
      <c r="B1650"/>
      <c r="C1650"/>
      <c r="D1650"/>
    </row>
    <row r="1651" spans="2:4" ht="16.5" x14ac:dyDescent="0.3">
      <c r="B1651"/>
      <c r="C1651"/>
      <c r="D1651"/>
    </row>
    <row r="1652" spans="2:4" ht="16.5" x14ac:dyDescent="0.3">
      <c r="B1652"/>
      <c r="C1652"/>
      <c r="D1652"/>
    </row>
    <row r="1653" spans="2:4" ht="16.5" x14ac:dyDescent="0.3">
      <c r="B1653"/>
      <c r="C1653"/>
      <c r="D1653"/>
    </row>
    <row r="1654" spans="2:4" ht="16.5" x14ac:dyDescent="0.3">
      <c r="B1654"/>
      <c r="C1654"/>
      <c r="D1654"/>
    </row>
    <row r="1655" spans="2:4" ht="16.5" x14ac:dyDescent="0.3">
      <c r="B1655"/>
      <c r="C1655"/>
      <c r="D1655"/>
    </row>
    <row r="1656" spans="2:4" ht="16.5" x14ac:dyDescent="0.3">
      <c r="B1656"/>
      <c r="C1656"/>
      <c r="D1656"/>
    </row>
    <row r="1657" spans="2:4" ht="16.5" x14ac:dyDescent="0.3">
      <c r="B1657"/>
      <c r="C1657"/>
      <c r="D1657"/>
    </row>
    <row r="1658" spans="2:4" ht="16.5" x14ac:dyDescent="0.3">
      <c r="B1658"/>
      <c r="C1658"/>
      <c r="D1658"/>
    </row>
    <row r="1659" spans="2:4" ht="16.5" x14ac:dyDescent="0.3">
      <c r="B1659"/>
      <c r="C1659"/>
      <c r="D1659"/>
    </row>
    <row r="1660" spans="2:4" ht="16.5" x14ac:dyDescent="0.3">
      <c r="B1660"/>
      <c r="C1660"/>
      <c r="D1660"/>
    </row>
    <row r="1661" spans="2:4" ht="16.5" x14ac:dyDescent="0.3">
      <c r="B1661"/>
      <c r="C1661"/>
      <c r="D1661"/>
    </row>
    <row r="1662" spans="2:4" ht="16.5" x14ac:dyDescent="0.3">
      <c r="B1662"/>
      <c r="C1662"/>
      <c r="D1662"/>
    </row>
    <row r="1663" spans="2:4" ht="16.5" x14ac:dyDescent="0.3">
      <c r="B1663"/>
      <c r="C1663"/>
      <c r="D1663"/>
    </row>
    <row r="1664" spans="2:4" ht="16.5" x14ac:dyDescent="0.3">
      <c r="B1664"/>
      <c r="C1664"/>
      <c r="D1664"/>
    </row>
    <row r="1665" spans="2:4" ht="16.5" x14ac:dyDescent="0.3">
      <c r="B1665"/>
      <c r="C1665"/>
      <c r="D1665"/>
    </row>
    <row r="1666" spans="2:4" ht="16.5" x14ac:dyDescent="0.3">
      <c r="B1666"/>
      <c r="C1666"/>
      <c r="D1666"/>
    </row>
    <row r="1667" spans="2:4" ht="16.5" x14ac:dyDescent="0.3">
      <c r="B1667"/>
      <c r="C1667"/>
      <c r="D1667"/>
    </row>
    <row r="1668" spans="2:4" ht="16.5" x14ac:dyDescent="0.3">
      <c r="B1668"/>
      <c r="C1668"/>
      <c r="D1668"/>
    </row>
    <row r="1669" spans="2:4" ht="16.5" x14ac:dyDescent="0.3">
      <c r="B1669"/>
      <c r="C1669"/>
      <c r="D1669"/>
    </row>
    <row r="1670" spans="2:4" ht="16.5" x14ac:dyDescent="0.3">
      <c r="B1670"/>
      <c r="C1670"/>
      <c r="D1670"/>
    </row>
    <row r="1671" spans="2:4" ht="16.5" x14ac:dyDescent="0.3">
      <c r="B1671"/>
      <c r="C1671"/>
      <c r="D1671"/>
    </row>
    <row r="1672" spans="2:4" ht="16.5" x14ac:dyDescent="0.3">
      <c r="B1672"/>
      <c r="C1672"/>
      <c r="D1672"/>
    </row>
    <row r="1673" spans="2:4" ht="16.5" x14ac:dyDescent="0.3">
      <c r="B1673"/>
      <c r="C1673"/>
      <c r="D1673"/>
    </row>
    <row r="1674" spans="2:4" ht="16.5" x14ac:dyDescent="0.3">
      <c r="B1674"/>
      <c r="C1674"/>
      <c r="D1674"/>
    </row>
    <row r="1675" spans="2:4" ht="16.5" x14ac:dyDescent="0.3">
      <c r="B1675"/>
      <c r="C1675"/>
      <c r="D1675"/>
    </row>
    <row r="1676" spans="2:4" ht="16.5" x14ac:dyDescent="0.3">
      <c r="B1676"/>
      <c r="C1676"/>
      <c r="D1676"/>
    </row>
    <row r="1677" spans="2:4" ht="16.5" x14ac:dyDescent="0.3">
      <c r="B1677"/>
      <c r="C1677"/>
      <c r="D1677"/>
    </row>
    <row r="1678" spans="2:4" ht="16.5" x14ac:dyDescent="0.3">
      <c r="B1678"/>
      <c r="C1678"/>
      <c r="D1678"/>
    </row>
    <row r="1679" spans="2:4" ht="16.5" x14ac:dyDescent="0.3">
      <c r="B1679"/>
      <c r="C1679"/>
      <c r="D1679"/>
    </row>
    <row r="1680" spans="2:4" ht="16.5" x14ac:dyDescent="0.3">
      <c r="B1680"/>
      <c r="C1680"/>
      <c r="D1680"/>
    </row>
    <row r="1681" spans="2:4" ht="16.5" x14ac:dyDescent="0.3">
      <c r="B1681"/>
      <c r="C1681"/>
      <c r="D1681"/>
    </row>
    <row r="1682" spans="2:4" ht="16.5" x14ac:dyDescent="0.3">
      <c r="B1682"/>
      <c r="C1682"/>
      <c r="D1682"/>
    </row>
    <row r="1683" spans="2:4" ht="16.5" x14ac:dyDescent="0.3">
      <c r="B1683"/>
      <c r="C1683"/>
      <c r="D1683"/>
    </row>
    <row r="1684" spans="2:4" ht="16.5" x14ac:dyDescent="0.3">
      <c r="B1684"/>
      <c r="C1684"/>
      <c r="D1684"/>
    </row>
    <row r="1685" spans="2:4" ht="16.5" x14ac:dyDescent="0.3">
      <c r="B1685"/>
      <c r="C1685"/>
      <c r="D1685"/>
    </row>
    <row r="1686" spans="2:4" ht="16.5" x14ac:dyDescent="0.3">
      <c r="B1686"/>
      <c r="C1686"/>
      <c r="D1686"/>
    </row>
    <row r="1687" spans="2:4" ht="16.5" x14ac:dyDescent="0.3">
      <c r="B1687"/>
      <c r="C1687"/>
      <c r="D1687"/>
    </row>
    <row r="1688" spans="2:4" ht="16.5" x14ac:dyDescent="0.3">
      <c r="B1688"/>
      <c r="C1688"/>
      <c r="D1688"/>
    </row>
    <row r="1689" spans="2:4" ht="16.5" x14ac:dyDescent="0.3">
      <c r="B1689"/>
      <c r="C1689"/>
      <c r="D1689"/>
    </row>
    <row r="1690" spans="2:4" ht="16.5" x14ac:dyDescent="0.3">
      <c r="B1690"/>
      <c r="C1690"/>
      <c r="D1690"/>
    </row>
    <row r="1691" spans="2:4" ht="16.5" x14ac:dyDescent="0.3">
      <c r="B1691"/>
      <c r="C1691"/>
      <c r="D1691"/>
    </row>
    <row r="1692" spans="2:4" ht="16.5" x14ac:dyDescent="0.3">
      <c r="B1692"/>
      <c r="C1692"/>
      <c r="D1692"/>
    </row>
    <row r="1693" spans="2:4" ht="16.5" x14ac:dyDescent="0.3">
      <c r="B1693"/>
      <c r="C1693"/>
      <c r="D1693"/>
    </row>
    <row r="1694" spans="2:4" ht="16.5" x14ac:dyDescent="0.3">
      <c r="B1694"/>
      <c r="C1694"/>
      <c r="D1694"/>
    </row>
    <row r="1695" spans="2:4" ht="16.5" x14ac:dyDescent="0.3">
      <c r="B1695"/>
      <c r="C1695"/>
      <c r="D1695"/>
    </row>
    <row r="1696" spans="2:4" ht="16.5" x14ac:dyDescent="0.3">
      <c r="B1696"/>
      <c r="C1696"/>
      <c r="D1696"/>
    </row>
    <row r="1697" spans="2:4" ht="16.5" x14ac:dyDescent="0.3">
      <c r="B1697"/>
      <c r="C1697"/>
      <c r="D1697"/>
    </row>
    <row r="1698" spans="2:4" ht="16.5" x14ac:dyDescent="0.3">
      <c r="B1698"/>
      <c r="C1698"/>
      <c r="D1698"/>
    </row>
    <row r="1699" spans="2:4" ht="16.5" x14ac:dyDescent="0.3">
      <c r="B1699"/>
      <c r="C1699"/>
      <c r="D1699"/>
    </row>
    <row r="1700" spans="2:4" ht="16.5" x14ac:dyDescent="0.3">
      <c r="B1700"/>
      <c r="C1700"/>
      <c r="D1700"/>
    </row>
    <row r="1701" spans="2:4" ht="16.5" x14ac:dyDescent="0.3">
      <c r="B1701"/>
      <c r="C1701"/>
      <c r="D1701"/>
    </row>
    <row r="1702" spans="2:4" ht="16.5" x14ac:dyDescent="0.3">
      <c r="B1702"/>
      <c r="C1702"/>
      <c r="D1702"/>
    </row>
    <row r="1703" spans="2:4" ht="16.5" x14ac:dyDescent="0.3">
      <c r="B1703"/>
      <c r="C1703"/>
      <c r="D1703"/>
    </row>
    <row r="1704" spans="2:4" ht="16.5" x14ac:dyDescent="0.3">
      <c r="B1704"/>
      <c r="C1704"/>
      <c r="D1704"/>
    </row>
    <row r="1705" spans="2:4" ht="16.5" x14ac:dyDescent="0.3">
      <c r="B1705"/>
      <c r="C1705"/>
      <c r="D1705"/>
    </row>
    <row r="1706" spans="2:4" ht="16.5" x14ac:dyDescent="0.3">
      <c r="B1706"/>
      <c r="C1706"/>
      <c r="D1706"/>
    </row>
    <row r="1707" spans="2:4" ht="16.5" x14ac:dyDescent="0.3">
      <c r="B1707"/>
      <c r="C1707"/>
      <c r="D1707"/>
    </row>
    <row r="1708" spans="2:4" ht="16.5" x14ac:dyDescent="0.3">
      <c r="B1708"/>
      <c r="C1708"/>
      <c r="D1708"/>
    </row>
    <row r="1709" spans="2:4" ht="16.5" x14ac:dyDescent="0.3">
      <c r="B1709"/>
      <c r="C1709"/>
      <c r="D1709"/>
    </row>
    <row r="1710" spans="2:4" ht="16.5" x14ac:dyDescent="0.3">
      <c r="B1710"/>
      <c r="C1710"/>
      <c r="D1710"/>
    </row>
    <row r="1711" spans="2:4" ht="16.5" x14ac:dyDescent="0.3">
      <c r="B1711"/>
      <c r="C1711"/>
      <c r="D1711"/>
    </row>
    <row r="1712" spans="2:4" ht="16.5" x14ac:dyDescent="0.3">
      <c r="B1712"/>
      <c r="C1712"/>
      <c r="D1712"/>
    </row>
    <row r="1713" spans="2:4" ht="16.5" x14ac:dyDescent="0.3">
      <c r="B1713"/>
      <c r="C1713"/>
      <c r="D1713"/>
    </row>
    <row r="1714" spans="2:4" ht="16.5" x14ac:dyDescent="0.3">
      <c r="B1714"/>
      <c r="C1714"/>
      <c r="D1714"/>
    </row>
    <row r="1715" spans="2:4" ht="16.5" x14ac:dyDescent="0.3">
      <c r="B1715"/>
      <c r="C1715"/>
      <c r="D1715"/>
    </row>
    <row r="1716" spans="2:4" ht="16.5" x14ac:dyDescent="0.3">
      <c r="B1716"/>
      <c r="C1716"/>
      <c r="D1716"/>
    </row>
    <row r="1717" spans="2:4" ht="16.5" x14ac:dyDescent="0.3">
      <c r="B1717"/>
      <c r="C1717"/>
      <c r="D1717"/>
    </row>
    <row r="1718" spans="2:4" ht="16.5" x14ac:dyDescent="0.3">
      <c r="B1718"/>
      <c r="C1718"/>
      <c r="D1718"/>
    </row>
    <row r="1719" spans="2:4" ht="16.5" x14ac:dyDescent="0.3">
      <c r="B1719"/>
      <c r="C1719"/>
      <c r="D1719"/>
    </row>
    <row r="1720" spans="2:4" ht="16.5" x14ac:dyDescent="0.3">
      <c r="B1720"/>
      <c r="C1720"/>
      <c r="D1720"/>
    </row>
    <row r="1721" spans="2:4" ht="16.5" x14ac:dyDescent="0.3">
      <c r="B1721"/>
      <c r="C1721"/>
      <c r="D1721"/>
    </row>
    <row r="1722" spans="2:4" ht="16.5" x14ac:dyDescent="0.3">
      <c r="B1722"/>
      <c r="C1722"/>
      <c r="D1722"/>
    </row>
    <row r="1723" spans="2:4" ht="16.5" x14ac:dyDescent="0.3">
      <c r="B1723"/>
      <c r="C1723"/>
      <c r="D1723"/>
    </row>
    <row r="1724" spans="2:4" ht="16.5" x14ac:dyDescent="0.3">
      <c r="B1724"/>
      <c r="C1724"/>
      <c r="D1724"/>
    </row>
    <row r="1725" spans="2:4" ht="16.5" x14ac:dyDescent="0.3">
      <c r="B1725"/>
      <c r="C1725"/>
      <c r="D1725"/>
    </row>
    <row r="1726" spans="2:4" ht="16.5" x14ac:dyDescent="0.3">
      <c r="B1726"/>
      <c r="C1726"/>
      <c r="D1726"/>
    </row>
    <row r="1727" spans="2:4" ht="16.5" x14ac:dyDescent="0.3">
      <c r="B1727"/>
      <c r="C1727"/>
      <c r="D1727"/>
    </row>
    <row r="1728" spans="2:4" ht="16.5" x14ac:dyDescent="0.3">
      <c r="B1728"/>
      <c r="C1728"/>
      <c r="D1728"/>
    </row>
    <row r="1729" spans="2:4" ht="16.5" x14ac:dyDescent="0.3">
      <c r="B1729"/>
      <c r="C1729"/>
      <c r="D1729"/>
    </row>
    <row r="1730" spans="2:4" ht="16.5" x14ac:dyDescent="0.3">
      <c r="B1730"/>
      <c r="C1730"/>
      <c r="D1730"/>
    </row>
    <row r="1731" spans="2:4" ht="16.5" x14ac:dyDescent="0.3">
      <c r="B1731"/>
      <c r="C1731"/>
      <c r="D1731"/>
    </row>
    <row r="1732" spans="2:4" ht="16.5" x14ac:dyDescent="0.3">
      <c r="B1732"/>
      <c r="C1732"/>
      <c r="D1732"/>
    </row>
    <row r="1733" spans="2:4" ht="16.5" x14ac:dyDescent="0.3">
      <c r="B1733"/>
      <c r="C1733"/>
      <c r="D1733"/>
    </row>
    <row r="1734" spans="2:4" ht="16.5" x14ac:dyDescent="0.3">
      <c r="B1734"/>
      <c r="C1734"/>
      <c r="D1734"/>
    </row>
    <row r="1735" spans="2:4" ht="16.5" x14ac:dyDescent="0.3">
      <c r="B1735"/>
      <c r="C1735"/>
      <c r="D1735"/>
    </row>
    <row r="1736" spans="2:4" ht="16.5" x14ac:dyDescent="0.3">
      <c r="B1736"/>
      <c r="C1736"/>
      <c r="D1736"/>
    </row>
    <row r="1737" spans="2:4" ht="16.5" x14ac:dyDescent="0.3">
      <c r="B1737"/>
      <c r="C1737"/>
      <c r="D1737"/>
    </row>
    <row r="1738" spans="2:4" ht="16.5" x14ac:dyDescent="0.3">
      <c r="B1738"/>
      <c r="C1738"/>
      <c r="D1738"/>
    </row>
    <row r="1739" spans="2:4" ht="16.5" x14ac:dyDescent="0.3">
      <c r="B1739"/>
      <c r="C1739"/>
      <c r="D1739"/>
    </row>
    <row r="1740" spans="2:4" ht="16.5" x14ac:dyDescent="0.3">
      <c r="B1740"/>
      <c r="C1740"/>
      <c r="D1740"/>
    </row>
    <row r="1741" spans="2:4" ht="16.5" x14ac:dyDescent="0.3">
      <c r="B1741"/>
      <c r="C1741"/>
      <c r="D1741"/>
    </row>
    <row r="1742" spans="2:4" ht="16.5" x14ac:dyDescent="0.3">
      <c r="B1742"/>
      <c r="C1742"/>
      <c r="D1742"/>
    </row>
    <row r="1743" spans="2:4" ht="16.5" x14ac:dyDescent="0.3">
      <c r="B1743"/>
      <c r="C1743"/>
      <c r="D1743"/>
    </row>
    <row r="1744" spans="2:4" ht="16.5" x14ac:dyDescent="0.3">
      <c r="B1744"/>
      <c r="C1744"/>
      <c r="D1744"/>
    </row>
    <row r="1745" spans="2:4" ht="16.5" x14ac:dyDescent="0.3">
      <c r="B1745"/>
      <c r="C1745"/>
      <c r="D1745"/>
    </row>
    <row r="1746" spans="2:4" ht="16.5" x14ac:dyDescent="0.3">
      <c r="B1746"/>
      <c r="C1746"/>
      <c r="D1746"/>
    </row>
    <row r="1747" spans="2:4" ht="16.5" x14ac:dyDescent="0.3">
      <c r="B1747"/>
      <c r="C1747"/>
      <c r="D1747"/>
    </row>
    <row r="1748" spans="2:4" ht="16.5" x14ac:dyDescent="0.3">
      <c r="B1748"/>
      <c r="C1748"/>
      <c r="D1748"/>
    </row>
    <row r="1749" spans="2:4" ht="16.5" x14ac:dyDescent="0.3">
      <c r="B1749"/>
      <c r="C1749"/>
      <c r="D1749"/>
    </row>
    <row r="1750" spans="2:4" ht="16.5" x14ac:dyDescent="0.3">
      <c r="B1750"/>
      <c r="C1750"/>
      <c r="D1750"/>
    </row>
    <row r="1751" spans="2:4" ht="16.5" x14ac:dyDescent="0.3">
      <c r="B1751"/>
      <c r="C1751"/>
      <c r="D1751"/>
    </row>
    <row r="1752" spans="2:4" ht="16.5" x14ac:dyDescent="0.3">
      <c r="B1752"/>
      <c r="C1752"/>
      <c r="D1752"/>
    </row>
    <row r="1753" spans="2:4" ht="16.5" x14ac:dyDescent="0.3">
      <c r="B1753"/>
      <c r="C1753"/>
      <c r="D1753"/>
    </row>
    <row r="1754" spans="2:4" ht="16.5" x14ac:dyDescent="0.3">
      <c r="B1754"/>
      <c r="C1754"/>
      <c r="D1754"/>
    </row>
    <row r="1755" spans="2:4" ht="16.5" x14ac:dyDescent="0.3">
      <c r="B1755"/>
      <c r="C1755"/>
      <c r="D1755"/>
    </row>
    <row r="1756" spans="2:4" ht="16.5" x14ac:dyDescent="0.3">
      <c r="B1756"/>
      <c r="C1756"/>
      <c r="D1756"/>
    </row>
    <row r="1757" spans="2:4" ht="16.5" x14ac:dyDescent="0.3">
      <c r="B1757"/>
      <c r="C1757"/>
      <c r="D1757"/>
    </row>
    <row r="1758" spans="2:4" ht="16.5" x14ac:dyDescent="0.3">
      <c r="B1758"/>
      <c r="C1758"/>
      <c r="D1758"/>
    </row>
    <row r="1759" spans="2:4" ht="16.5" x14ac:dyDescent="0.3">
      <c r="B1759"/>
      <c r="C1759"/>
      <c r="D1759"/>
    </row>
    <row r="1760" spans="2:4" ht="16.5" x14ac:dyDescent="0.3">
      <c r="B1760"/>
      <c r="C1760"/>
      <c r="D1760"/>
    </row>
    <row r="1761" spans="2:4" ht="16.5" x14ac:dyDescent="0.3">
      <c r="B1761"/>
      <c r="C1761"/>
      <c r="D1761"/>
    </row>
    <row r="1762" spans="2:4" ht="16.5" x14ac:dyDescent="0.3">
      <c r="B1762"/>
      <c r="C1762"/>
      <c r="D1762"/>
    </row>
    <row r="1763" spans="2:4" ht="16.5" x14ac:dyDescent="0.3">
      <c r="B1763"/>
      <c r="C1763"/>
      <c r="D1763"/>
    </row>
    <row r="1764" spans="2:4" ht="16.5" x14ac:dyDescent="0.3">
      <c r="B1764"/>
      <c r="C1764"/>
      <c r="D1764"/>
    </row>
    <row r="1765" spans="2:4" ht="16.5" x14ac:dyDescent="0.3">
      <c r="B1765"/>
      <c r="C1765"/>
      <c r="D1765"/>
    </row>
    <row r="1766" spans="2:4" ht="16.5" x14ac:dyDescent="0.3">
      <c r="B1766"/>
      <c r="C1766"/>
      <c r="D1766"/>
    </row>
    <row r="1767" spans="2:4" ht="16.5" x14ac:dyDescent="0.3">
      <c r="B1767"/>
      <c r="C1767"/>
      <c r="D1767"/>
    </row>
    <row r="1768" spans="2:4" ht="16.5" x14ac:dyDescent="0.3">
      <c r="B1768"/>
      <c r="C1768"/>
      <c r="D1768"/>
    </row>
    <row r="1769" spans="2:4" ht="16.5" x14ac:dyDescent="0.3">
      <c r="B1769"/>
      <c r="C1769"/>
      <c r="D1769"/>
    </row>
    <row r="1770" spans="2:4" ht="16.5" x14ac:dyDescent="0.3">
      <c r="B1770"/>
      <c r="C1770"/>
      <c r="D1770"/>
    </row>
    <row r="1771" spans="2:4" ht="16.5" x14ac:dyDescent="0.3">
      <c r="B1771"/>
      <c r="C1771"/>
      <c r="D1771"/>
    </row>
    <row r="1772" spans="2:4" ht="16.5" x14ac:dyDescent="0.3">
      <c r="B1772"/>
      <c r="C1772"/>
      <c r="D1772"/>
    </row>
    <row r="1773" spans="2:4" ht="16.5" x14ac:dyDescent="0.3">
      <c r="B1773"/>
      <c r="C1773"/>
      <c r="D1773"/>
    </row>
    <row r="1774" spans="2:4" ht="16.5" x14ac:dyDescent="0.3">
      <c r="B1774"/>
      <c r="C1774"/>
      <c r="D1774"/>
    </row>
    <row r="1775" spans="2:4" ht="16.5" x14ac:dyDescent="0.3">
      <c r="B1775"/>
      <c r="C1775"/>
      <c r="D1775"/>
    </row>
    <row r="1776" spans="2:4" ht="16.5" x14ac:dyDescent="0.3">
      <c r="B1776"/>
      <c r="C1776"/>
      <c r="D1776"/>
    </row>
    <row r="1777" spans="2:4" ht="16.5" x14ac:dyDescent="0.3">
      <c r="B1777"/>
      <c r="C1777"/>
      <c r="D1777"/>
    </row>
    <row r="1778" spans="2:4" ht="16.5" x14ac:dyDescent="0.3">
      <c r="B1778"/>
      <c r="C1778"/>
      <c r="D1778"/>
    </row>
    <row r="1779" spans="2:4" ht="16.5" x14ac:dyDescent="0.3">
      <c r="B1779"/>
      <c r="C1779"/>
      <c r="D1779"/>
    </row>
    <row r="1780" spans="2:4" ht="16.5" x14ac:dyDescent="0.3">
      <c r="B1780"/>
      <c r="C1780"/>
      <c r="D1780"/>
    </row>
    <row r="1781" spans="2:4" ht="16.5" x14ac:dyDescent="0.3">
      <c r="B1781"/>
      <c r="C1781"/>
      <c r="D1781"/>
    </row>
    <row r="1782" spans="2:4" ht="16.5" x14ac:dyDescent="0.3">
      <c r="B1782"/>
      <c r="C1782"/>
      <c r="D1782"/>
    </row>
    <row r="1783" spans="2:4" ht="16.5" x14ac:dyDescent="0.3">
      <c r="B1783"/>
      <c r="C1783"/>
      <c r="D1783"/>
    </row>
    <row r="1784" spans="2:4" ht="16.5" x14ac:dyDescent="0.3">
      <c r="B1784"/>
      <c r="C1784"/>
      <c r="D1784"/>
    </row>
    <row r="1785" spans="2:4" ht="16.5" x14ac:dyDescent="0.3">
      <c r="B1785"/>
      <c r="C1785"/>
      <c r="D1785"/>
    </row>
    <row r="1786" spans="2:4" ht="16.5" x14ac:dyDescent="0.3">
      <c r="B1786"/>
      <c r="C1786"/>
      <c r="D1786"/>
    </row>
    <row r="1787" spans="2:4" ht="16.5" x14ac:dyDescent="0.3">
      <c r="B1787"/>
      <c r="C1787"/>
      <c r="D1787"/>
    </row>
    <row r="1788" spans="2:4" ht="16.5" x14ac:dyDescent="0.3">
      <c r="B1788"/>
      <c r="C1788"/>
      <c r="D1788"/>
    </row>
    <row r="1789" spans="2:4" ht="16.5" x14ac:dyDescent="0.3">
      <c r="B1789"/>
      <c r="C1789"/>
      <c r="D1789"/>
    </row>
    <row r="1790" spans="2:4" ht="16.5" x14ac:dyDescent="0.3">
      <c r="B1790"/>
      <c r="C1790"/>
      <c r="D1790"/>
    </row>
    <row r="1791" spans="2:4" ht="16.5" x14ac:dyDescent="0.3">
      <c r="B1791"/>
      <c r="C1791"/>
      <c r="D1791"/>
    </row>
    <row r="1792" spans="2:4" ht="16.5" x14ac:dyDescent="0.3">
      <c r="B1792"/>
      <c r="C1792"/>
      <c r="D1792"/>
    </row>
    <row r="1793" spans="2:4" ht="16.5" x14ac:dyDescent="0.3">
      <c r="B1793"/>
      <c r="C1793"/>
      <c r="D1793"/>
    </row>
    <row r="1794" spans="2:4" ht="16.5" x14ac:dyDescent="0.3">
      <c r="B1794"/>
      <c r="C1794"/>
      <c r="D1794"/>
    </row>
    <row r="1795" spans="2:4" ht="16.5" x14ac:dyDescent="0.3">
      <c r="B1795"/>
      <c r="C1795"/>
      <c r="D1795"/>
    </row>
    <row r="1796" spans="2:4" ht="16.5" x14ac:dyDescent="0.3">
      <c r="B1796"/>
      <c r="C1796"/>
      <c r="D1796"/>
    </row>
    <row r="1797" spans="2:4" ht="16.5" x14ac:dyDescent="0.3">
      <c r="B1797"/>
      <c r="C1797"/>
      <c r="D1797"/>
    </row>
    <row r="1798" spans="2:4" ht="16.5" x14ac:dyDescent="0.3">
      <c r="B1798"/>
      <c r="C1798"/>
      <c r="D1798"/>
    </row>
    <row r="1799" spans="2:4" ht="16.5" x14ac:dyDescent="0.3">
      <c r="B1799"/>
      <c r="C1799"/>
      <c r="D1799"/>
    </row>
    <row r="1800" spans="2:4" ht="16.5" x14ac:dyDescent="0.3">
      <c r="B1800"/>
      <c r="C1800"/>
      <c r="D1800"/>
    </row>
    <row r="1801" spans="2:4" ht="16.5" x14ac:dyDescent="0.3">
      <c r="B1801"/>
      <c r="C1801"/>
      <c r="D1801"/>
    </row>
    <row r="1802" spans="2:4" ht="16.5" x14ac:dyDescent="0.3">
      <c r="B1802"/>
      <c r="C1802"/>
      <c r="D1802"/>
    </row>
    <row r="1803" spans="2:4" ht="16.5" x14ac:dyDescent="0.3">
      <c r="B1803"/>
      <c r="C1803"/>
      <c r="D1803"/>
    </row>
    <row r="1804" spans="2:4" ht="16.5" x14ac:dyDescent="0.3">
      <c r="B1804"/>
      <c r="C1804"/>
      <c r="D1804"/>
    </row>
    <row r="1805" spans="2:4" ht="16.5" x14ac:dyDescent="0.3">
      <c r="B1805"/>
      <c r="C1805"/>
      <c r="D1805"/>
    </row>
    <row r="1806" spans="2:4" ht="16.5" x14ac:dyDescent="0.3">
      <c r="B1806"/>
      <c r="C1806"/>
      <c r="D1806"/>
    </row>
    <row r="1807" spans="2:4" ht="16.5" x14ac:dyDescent="0.3">
      <c r="B1807"/>
      <c r="C1807"/>
      <c r="D1807"/>
    </row>
    <row r="1808" spans="2:4" ht="16.5" x14ac:dyDescent="0.3">
      <c r="B1808"/>
      <c r="C1808"/>
      <c r="D1808"/>
    </row>
    <row r="1809" spans="2:4" ht="16.5" x14ac:dyDescent="0.3">
      <c r="B1809"/>
      <c r="C1809"/>
      <c r="D1809"/>
    </row>
    <row r="1810" spans="2:4" ht="16.5" x14ac:dyDescent="0.3">
      <c r="B1810"/>
      <c r="C1810"/>
      <c r="D1810"/>
    </row>
    <row r="1811" spans="2:4" ht="16.5" x14ac:dyDescent="0.3">
      <c r="B1811"/>
      <c r="C1811"/>
      <c r="D1811"/>
    </row>
    <row r="1812" spans="2:4" ht="16.5" x14ac:dyDescent="0.3">
      <c r="B1812"/>
      <c r="C1812"/>
      <c r="D1812"/>
    </row>
    <row r="1813" spans="2:4" ht="16.5" x14ac:dyDescent="0.3">
      <c r="B1813"/>
      <c r="C1813"/>
      <c r="D1813"/>
    </row>
    <row r="1814" spans="2:4" ht="16.5" x14ac:dyDescent="0.3">
      <c r="B1814"/>
      <c r="C1814"/>
      <c r="D1814"/>
    </row>
    <row r="1815" spans="2:4" ht="16.5" x14ac:dyDescent="0.3">
      <c r="B1815"/>
      <c r="C1815"/>
      <c r="D1815"/>
    </row>
    <row r="1816" spans="2:4" ht="16.5" x14ac:dyDescent="0.3">
      <c r="B1816"/>
      <c r="C1816"/>
      <c r="D1816"/>
    </row>
    <row r="1817" spans="2:4" ht="16.5" x14ac:dyDescent="0.3">
      <c r="B1817"/>
      <c r="C1817"/>
      <c r="D1817"/>
    </row>
    <row r="1818" spans="2:4" ht="16.5" x14ac:dyDescent="0.3">
      <c r="B1818"/>
      <c r="C1818"/>
      <c r="D1818"/>
    </row>
    <row r="1819" spans="2:4" ht="16.5" x14ac:dyDescent="0.3">
      <c r="B1819"/>
      <c r="C1819"/>
      <c r="D1819"/>
    </row>
    <row r="1820" spans="2:4" ht="16.5" x14ac:dyDescent="0.3">
      <c r="B1820"/>
      <c r="C1820"/>
      <c r="D1820"/>
    </row>
    <row r="1821" spans="2:4" ht="16.5" x14ac:dyDescent="0.3">
      <c r="B1821"/>
      <c r="C1821"/>
      <c r="D1821"/>
    </row>
    <row r="1822" spans="2:4" ht="16.5" x14ac:dyDescent="0.3">
      <c r="B1822"/>
      <c r="C1822"/>
      <c r="D1822"/>
    </row>
    <row r="1823" spans="2:4" ht="16.5" x14ac:dyDescent="0.3">
      <c r="B1823"/>
      <c r="C1823"/>
      <c r="D1823"/>
    </row>
    <row r="1824" spans="2:4" ht="16.5" x14ac:dyDescent="0.3">
      <c r="B1824"/>
      <c r="C1824"/>
      <c r="D1824"/>
    </row>
    <row r="1825" spans="2:4" ht="16.5" x14ac:dyDescent="0.3">
      <c r="B1825"/>
      <c r="C1825"/>
      <c r="D1825"/>
    </row>
    <row r="1826" spans="2:4" ht="16.5" x14ac:dyDescent="0.3">
      <c r="B1826"/>
      <c r="C1826"/>
      <c r="D1826"/>
    </row>
    <row r="1827" spans="2:4" ht="16.5" x14ac:dyDescent="0.3">
      <c r="B1827"/>
      <c r="C1827"/>
      <c r="D1827"/>
    </row>
    <row r="1828" spans="2:4" ht="16.5" x14ac:dyDescent="0.3">
      <c r="B1828"/>
      <c r="C1828"/>
      <c r="D1828"/>
    </row>
    <row r="1829" spans="2:4" ht="16.5" x14ac:dyDescent="0.3">
      <c r="B1829"/>
      <c r="C1829"/>
      <c r="D1829"/>
    </row>
    <row r="1830" spans="2:4" ht="16.5" x14ac:dyDescent="0.3">
      <c r="B1830"/>
      <c r="C1830"/>
      <c r="D1830"/>
    </row>
    <row r="1831" spans="2:4" ht="16.5" x14ac:dyDescent="0.3">
      <c r="B1831"/>
      <c r="C1831"/>
      <c r="D1831"/>
    </row>
    <row r="1832" spans="2:4" ht="16.5" x14ac:dyDescent="0.3">
      <c r="B1832"/>
      <c r="C1832"/>
      <c r="D1832"/>
    </row>
    <row r="1833" spans="2:4" ht="16.5" x14ac:dyDescent="0.3">
      <c r="B1833"/>
      <c r="C1833"/>
      <c r="D1833"/>
    </row>
    <row r="1834" spans="2:4" ht="16.5" x14ac:dyDescent="0.3">
      <c r="B1834"/>
      <c r="C1834"/>
      <c r="D1834"/>
    </row>
    <row r="1835" spans="2:4" ht="16.5" x14ac:dyDescent="0.3">
      <c r="B1835"/>
      <c r="C1835"/>
      <c r="D1835"/>
    </row>
    <row r="1836" spans="2:4" ht="16.5" x14ac:dyDescent="0.3">
      <c r="B1836"/>
      <c r="C1836"/>
      <c r="D1836"/>
    </row>
    <row r="1837" spans="2:4" ht="16.5" x14ac:dyDescent="0.3">
      <c r="B1837"/>
      <c r="C1837"/>
      <c r="D1837"/>
    </row>
    <row r="1838" spans="2:4" ht="16.5" x14ac:dyDescent="0.3">
      <c r="B1838"/>
      <c r="C1838"/>
      <c r="D1838"/>
    </row>
    <row r="1839" spans="2:4" ht="16.5" x14ac:dyDescent="0.3">
      <c r="B1839"/>
      <c r="C1839"/>
      <c r="D1839"/>
    </row>
    <row r="1840" spans="2:4" ht="16.5" x14ac:dyDescent="0.3">
      <c r="B1840"/>
      <c r="C1840"/>
      <c r="D1840"/>
    </row>
    <row r="1841" spans="2:4" ht="16.5" x14ac:dyDescent="0.3">
      <c r="B1841"/>
      <c r="C1841"/>
      <c r="D1841"/>
    </row>
    <row r="1842" spans="2:4" ht="16.5" x14ac:dyDescent="0.3">
      <c r="B1842"/>
      <c r="C1842"/>
      <c r="D1842"/>
    </row>
    <row r="1843" spans="2:4" ht="16.5" x14ac:dyDescent="0.3">
      <c r="B1843"/>
      <c r="C1843"/>
      <c r="D1843"/>
    </row>
    <row r="1844" spans="2:4" ht="16.5" x14ac:dyDescent="0.3">
      <c r="B1844"/>
      <c r="C1844"/>
      <c r="D1844"/>
    </row>
    <row r="1845" spans="2:4" ht="16.5" x14ac:dyDescent="0.3">
      <c r="B1845"/>
      <c r="C1845"/>
      <c r="D1845"/>
    </row>
    <row r="1846" spans="2:4" ht="16.5" x14ac:dyDescent="0.3">
      <c r="B1846"/>
      <c r="C1846"/>
      <c r="D1846"/>
    </row>
    <row r="1847" spans="2:4" ht="16.5" x14ac:dyDescent="0.3">
      <c r="B1847"/>
      <c r="C1847"/>
      <c r="D1847"/>
    </row>
    <row r="1848" spans="2:4" ht="16.5" x14ac:dyDescent="0.3">
      <c r="B1848"/>
      <c r="C1848"/>
      <c r="D1848"/>
    </row>
    <row r="1849" spans="2:4" ht="16.5" x14ac:dyDescent="0.3">
      <c r="B1849"/>
      <c r="C1849"/>
      <c r="D1849"/>
    </row>
    <row r="1850" spans="2:4" ht="16.5" x14ac:dyDescent="0.3">
      <c r="B1850"/>
      <c r="C1850"/>
      <c r="D1850"/>
    </row>
    <row r="1851" spans="2:4" ht="16.5" x14ac:dyDescent="0.3">
      <c r="B1851"/>
      <c r="C1851"/>
      <c r="D1851"/>
    </row>
    <row r="1852" spans="2:4" ht="16.5" x14ac:dyDescent="0.3">
      <c r="B1852"/>
      <c r="C1852"/>
      <c r="D1852"/>
    </row>
    <row r="1853" spans="2:4" ht="16.5" x14ac:dyDescent="0.3">
      <c r="B1853"/>
      <c r="C1853"/>
      <c r="D1853"/>
    </row>
    <row r="1854" spans="2:4" ht="16.5" x14ac:dyDescent="0.3">
      <c r="B1854"/>
      <c r="C1854"/>
      <c r="D1854"/>
    </row>
    <row r="1855" spans="2:4" ht="16.5" x14ac:dyDescent="0.3">
      <c r="B1855"/>
      <c r="C1855"/>
      <c r="D1855"/>
    </row>
    <row r="1856" spans="2:4" ht="16.5" x14ac:dyDescent="0.3">
      <c r="B1856"/>
      <c r="C1856"/>
      <c r="D1856"/>
    </row>
    <row r="1857" spans="2:4" ht="16.5" x14ac:dyDescent="0.3">
      <c r="B1857"/>
      <c r="C1857"/>
      <c r="D1857"/>
    </row>
    <row r="1858" spans="2:4" ht="16.5" x14ac:dyDescent="0.3">
      <c r="B1858"/>
      <c r="C1858"/>
      <c r="D1858"/>
    </row>
    <row r="1859" spans="2:4" ht="16.5" x14ac:dyDescent="0.3">
      <c r="B1859"/>
      <c r="C1859"/>
      <c r="D1859"/>
    </row>
    <row r="1860" spans="2:4" ht="16.5" x14ac:dyDescent="0.3">
      <c r="B1860"/>
      <c r="C1860"/>
      <c r="D1860"/>
    </row>
    <row r="1861" spans="2:4" ht="16.5" x14ac:dyDescent="0.3">
      <c r="B1861"/>
      <c r="C1861"/>
      <c r="D1861"/>
    </row>
    <row r="1862" spans="2:4" ht="16.5" x14ac:dyDescent="0.3">
      <c r="B1862"/>
      <c r="C1862"/>
      <c r="D1862"/>
    </row>
    <row r="1863" spans="2:4" ht="16.5" x14ac:dyDescent="0.3">
      <c r="B1863"/>
      <c r="C1863"/>
      <c r="D1863"/>
    </row>
    <row r="1864" spans="2:4" ht="16.5" x14ac:dyDescent="0.3">
      <c r="B1864"/>
      <c r="C1864"/>
      <c r="D1864"/>
    </row>
    <row r="1865" spans="2:4" ht="16.5" x14ac:dyDescent="0.3">
      <c r="B1865"/>
      <c r="C1865"/>
      <c r="D1865"/>
    </row>
    <row r="1866" spans="2:4" ht="16.5" x14ac:dyDescent="0.3">
      <c r="B1866"/>
      <c r="C1866"/>
      <c r="D1866"/>
    </row>
    <row r="1867" spans="2:4" ht="16.5" x14ac:dyDescent="0.3">
      <c r="B1867"/>
      <c r="C1867"/>
      <c r="D1867"/>
    </row>
    <row r="1868" spans="2:4" ht="16.5" x14ac:dyDescent="0.3">
      <c r="B1868"/>
      <c r="C1868"/>
      <c r="D1868"/>
    </row>
    <row r="1869" spans="2:4" ht="16.5" x14ac:dyDescent="0.3">
      <c r="B1869"/>
      <c r="C1869"/>
      <c r="D1869"/>
    </row>
    <row r="1870" spans="2:4" ht="16.5" x14ac:dyDescent="0.3">
      <c r="B1870"/>
      <c r="C1870"/>
      <c r="D1870"/>
    </row>
    <row r="1871" spans="2:4" ht="16.5" x14ac:dyDescent="0.3">
      <c r="B1871"/>
      <c r="C1871"/>
      <c r="D1871"/>
    </row>
    <row r="1872" spans="2:4" ht="16.5" x14ac:dyDescent="0.3">
      <c r="B1872"/>
      <c r="C1872"/>
      <c r="D1872"/>
    </row>
    <row r="1873" spans="2:4" ht="16.5" x14ac:dyDescent="0.3">
      <c r="B1873"/>
      <c r="C1873"/>
      <c r="D1873"/>
    </row>
    <row r="1874" spans="2:4" ht="16.5" x14ac:dyDescent="0.3">
      <c r="B1874"/>
      <c r="C1874"/>
      <c r="D1874"/>
    </row>
    <row r="1875" spans="2:4" ht="16.5" x14ac:dyDescent="0.3">
      <c r="B1875"/>
      <c r="C1875"/>
      <c r="D1875"/>
    </row>
    <row r="1876" spans="2:4" ht="16.5" x14ac:dyDescent="0.3">
      <c r="B1876"/>
      <c r="C1876"/>
      <c r="D1876"/>
    </row>
    <row r="1877" spans="2:4" ht="16.5" x14ac:dyDescent="0.3">
      <c r="B1877"/>
      <c r="C1877"/>
      <c r="D1877"/>
    </row>
    <row r="1878" spans="2:4" ht="16.5" x14ac:dyDescent="0.3">
      <c r="B1878"/>
      <c r="C1878"/>
      <c r="D1878"/>
    </row>
    <row r="1879" spans="2:4" ht="16.5" x14ac:dyDescent="0.3">
      <c r="B1879"/>
      <c r="C1879"/>
      <c r="D1879"/>
    </row>
    <row r="1880" spans="2:4" ht="16.5" x14ac:dyDescent="0.3">
      <c r="B1880"/>
      <c r="C1880"/>
      <c r="D1880"/>
    </row>
    <row r="1881" spans="2:4" ht="16.5" x14ac:dyDescent="0.3">
      <c r="B1881"/>
      <c r="C1881"/>
      <c r="D1881"/>
    </row>
    <row r="1882" spans="2:4" ht="16.5" x14ac:dyDescent="0.3">
      <c r="B1882"/>
      <c r="C1882"/>
      <c r="D1882"/>
    </row>
    <row r="1883" spans="2:4" ht="16.5" x14ac:dyDescent="0.3">
      <c r="B1883"/>
      <c r="C1883"/>
      <c r="D1883"/>
    </row>
    <row r="1884" spans="2:4" ht="16.5" x14ac:dyDescent="0.3">
      <c r="B1884"/>
      <c r="C1884"/>
      <c r="D1884"/>
    </row>
    <row r="1885" spans="2:4" ht="16.5" x14ac:dyDescent="0.3">
      <c r="B1885"/>
      <c r="C1885"/>
      <c r="D1885"/>
    </row>
    <row r="1886" spans="2:4" ht="16.5" x14ac:dyDescent="0.3">
      <c r="B1886"/>
      <c r="C1886"/>
      <c r="D1886"/>
    </row>
    <row r="1887" spans="2:4" ht="16.5" x14ac:dyDescent="0.3">
      <c r="B1887"/>
      <c r="C1887"/>
      <c r="D1887"/>
    </row>
    <row r="1888" spans="2:4" ht="16.5" x14ac:dyDescent="0.3">
      <c r="B1888"/>
      <c r="C1888"/>
      <c r="D1888"/>
    </row>
    <row r="1889" spans="2:4" ht="16.5" x14ac:dyDescent="0.3">
      <c r="B1889"/>
      <c r="C1889"/>
      <c r="D1889"/>
    </row>
    <row r="1890" spans="2:4" ht="16.5" x14ac:dyDescent="0.3">
      <c r="B1890"/>
      <c r="C1890"/>
      <c r="D1890"/>
    </row>
    <row r="1891" spans="2:4" ht="16.5" x14ac:dyDescent="0.3">
      <c r="B1891"/>
      <c r="C1891"/>
      <c r="D1891"/>
    </row>
    <row r="1892" spans="2:4" ht="16.5" x14ac:dyDescent="0.3">
      <c r="B1892"/>
      <c r="C1892"/>
      <c r="D1892"/>
    </row>
    <row r="1893" spans="2:4" ht="16.5" x14ac:dyDescent="0.3">
      <c r="B1893"/>
      <c r="C1893"/>
      <c r="D1893"/>
    </row>
    <row r="1894" spans="2:4" ht="16.5" x14ac:dyDescent="0.3">
      <c r="B1894"/>
      <c r="C1894"/>
      <c r="D1894"/>
    </row>
    <row r="1895" spans="2:4" ht="16.5" x14ac:dyDescent="0.3">
      <c r="B1895"/>
      <c r="C1895"/>
      <c r="D1895"/>
    </row>
    <row r="1896" spans="2:4" ht="16.5" x14ac:dyDescent="0.3">
      <c r="B1896"/>
      <c r="C1896"/>
      <c r="D1896"/>
    </row>
    <row r="1897" spans="2:4" ht="16.5" x14ac:dyDescent="0.3">
      <c r="B1897"/>
      <c r="C1897"/>
      <c r="D1897"/>
    </row>
    <row r="1898" spans="2:4" ht="16.5" x14ac:dyDescent="0.3">
      <c r="B1898"/>
      <c r="C1898"/>
      <c r="D1898"/>
    </row>
    <row r="1899" spans="2:4" ht="16.5" x14ac:dyDescent="0.3">
      <c r="B1899"/>
      <c r="C1899"/>
      <c r="D1899"/>
    </row>
    <row r="1900" spans="2:4" ht="16.5" x14ac:dyDescent="0.3">
      <c r="B1900"/>
      <c r="C1900"/>
      <c r="D1900"/>
    </row>
    <row r="1901" spans="2:4" ht="16.5" x14ac:dyDescent="0.3">
      <c r="B1901"/>
      <c r="C1901"/>
      <c r="D1901"/>
    </row>
    <row r="1902" spans="2:4" ht="16.5" x14ac:dyDescent="0.3">
      <c r="B1902"/>
      <c r="C1902"/>
      <c r="D1902"/>
    </row>
    <row r="1903" spans="2:4" ht="16.5" x14ac:dyDescent="0.3">
      <c r="B1903"/>
      <c r="C1903"/>
      <c r="D1903"/>
    </row>
    <row r="1904" spans="2:4" ht="16.5" x14ac:dyDescent="0.3">
      <c r="B1904"/>
      <c r="C1904"/>
      <c r="D1904"/>
    </row>
    <row r="1905" spans="2:4" ht="16.5" x14ac:dyDescent="0.3">
      <c r="B1905"/>
      <c r="C1905"/>
      <c r="D1905"/>
    </row>
    <row r="1906" spans="2:4" ht="16.5" x14ac:dyDescent="0.3">
      <c r="B1906"/>
      <c r="C1906"/>
      <c r="D1906"/>
    </row>
    <row r="1907" spans="2:4" ht="16.5" x14ac:dyDescent="0.3">
      <c r="B1907"/>
      <c r="C1907"/>
      <c r="D1907"/>
    </row>
    <row r="1908" spans="2:4" ht="16.5" x14ac:dyDescent="0.3">
      <c r="B1908"/>
      <c r="C1908"/>
      <c r="D1908"/>
    </row>
    <row r="1909" spans="2:4" ht="16.5" x14ac:dyDescent="0.3">
      <c r="B1909"/>
      <c r="C1909"/>
      <c r="D1909"/>
    </row>
    <row r="1910" spans="2:4" ht="16.5" x14ac:dyDescent="0.3">
      <c r="B1910"/>
      <c r="C1910"/>
      <c r="D1910"/>
    </row>
    <row r="1911" spans="2:4" ht="16.5" x14ac:dyDescent="0.3">
      <c r="B1911"/>
      <c r="C1911"/>
      <c r="D1911"/>
    </row>
    <row r="1912" spans="2:4" ht="16.5" x14ac:dyDescent="0.3">
      <c r="B1912"/>
      <c r="C1912"/>
      <c r="D1912"/>
    </row>
    <row r="1913" spans="2:4" ht="16.5" x14ac:dyDescent="0.3">
      <c r="B1913"/>
      <c r="C1913"/>
      <c r="D1913"/>
    </row>
    <row r="1914" spans="2:4" ht="16.5" x14ac:dyDescent="0.3">
      <c r="B1914"/>
      <c r="C1914"/>
      <c r="D1914"/>
    </row>
    <row r="1915" spans="2:4" ht="16.5" x14ac:dyDescent="0.3">
      <c r="B1915"/>
      <c r="C1915"/>
      <c r="D1915"/>
    </row>
    <row r="1916" spans="2:4" ht="16.5" x14ac:dyDescent="0.3">
      <c r="B1916"/>
      <c r="C1916"/>
      <c r="D1916"/>
    </row>
    <row r="1917" spans="2:4" ht="16.5" x14ac:dyDescent="0.3">
      <c r="B1917"/>
      <c r="C1917"/>
      <c r="D1917"/>
    </row>
    <row r="1918" spans="2:4" ht="16.5" x14ac:dyDescent="0.3">
      <c r="B1918"/>
      <c r="C1918"/>
      <c r="D1918"/>
    </row>
    <row r="1919" spans="2:4" ht="16.5" x14ac:dyDescent="0.3">
      <c r="B1919"/>
      <c r="C1919"/>
      <c r="D1919"/>
    </row>
    <row r="1920" spans="2:4" ht="16.5" x14ac:dyDescent="0.3">
      <c r="B1920"/>
      <c r="C1920"/>
      <c r="D1920"/>
    </row>
    <row r="1921" spans="2:4" ht="16.5" x14ac:dyDescent="0.3">
      <c r="B1921"/>
      <c r="C1921"/>
      <c r="D1921"/>
    </row>
    <row r="1922" spans="2:4" ht="16.5" x14ac:dyDescent="0.3">
      <c r="B1922"/>
      <c r="C1922"/>
      <c r="D1922"/>
    </row>
    <row r="1923" spans="2:4" ht="16.5" x14ac:dyDescent="0.3">
      <c r="B1923"/>
      <c r="C1923"/>
      <c r="D1923"/>
    </row>
    <row r="1924" spans="2:4" ht="16.5" x14ac:dyDescent="0.3">
      <c r="B1924"/>
      <c r="C1924"/>
      <c r="D1924"/>
    </row>
    <row r="1925" spans="2:4" ht="16.5" x14ac:dyDescent="0.3">
      <c r="B1925"/>
      <c r="C1925"/>
      <c r="D1925"/>
    </row>
    <row r="1926" spans="2:4" ht="16.5" x14ac:dyDescent="0.3">
      <c r="B1926"/>
      <c r="C1926"/>
      <c r="D1926"/>
    </row>
    <row r="1927" spans="2:4" ht="16.5" x14ac:dyDescent="0.3">
      <c r="B1927"/>
      <c r="C1927"/>
      <c r="D1927"/>
    </row>
    <row r="1928" spans="2:4" ht="16.5" x14ac:dyDescent="0.3">
      <c r="B1928"/>
      <c r="C1928"/>
      <c r="D1928"/>
    </row>
    <row r="1929" spans="2:4" ht="16.5" x14ac:dyDescent="0.3">
      <c r="B1929"/>
      <c r="C1929"/>
      <c r="D1929"/>
    </row>
    <row r="1930" spans="2:4" ht="16.5" x14ac:dyDescent="0.3">
      <c r="B1930"/>
      <c r="C1930"/>
      <c r="D1930"/>
    </row>
    <row r="1931" spans="2:4" ht="16.5" x14ac:dyDescent="0.3">
      <c r="B1931"/>
      <c r="C1931"/>
      <c r="D1931"/>
    </row>
    <row r="1932" spans="2:4" ht="16.5" x14ac:dyDescent="0.3">
      <c r="B1932"/>
      <c r="C1932"/>
      <c r="D1932"/>
    </row>
    <row r="1933" spans="2:4" ht="16.5" x14ac:dyDescent="0.3">
      <c r="B1933"/>
      <c r="C1933"/>
      <c r="D1933"/>
    </row>
    <row r="1934" spans="2:4" ht="16.5" x14ac:dyDescent="0.3">
      <c r="B1934"/>
      <c r="C1934"/>
      <c r="D1934"/>
    </row>
    <row r="1935" spans="2:4" ht="16.5" x14ac:dyDescent="0.3">
      <c r="B1935"/>
      <c r="C1935"/>
      <c r="D1935"/>
    </row>
    <row r="1936" spans="2:4" ht="16.5" x14ac:dyDescent="0.3">
      <c r="B1936"/>
      <c r="C1936"/>
      <c r="D1936"/>
    </row>
    <row r="1937" spans="2:4" ht="16.5" x14ac:dyDescent="0.3">
      <c r="B1937"/>
      <c r="C1937"/>
      <c r="D1937"/>
    </row>
    <row r="1938" spans="2:4" ht="16.5" x14ac:dyDescent="0.3">
      <c r="B1938"/>
      <c r="C1938"/>
      <c r="D1938"/>
    </row>
    <row r="1939" spans="2:4" ht="16.5" x14ac:dyDescent="0.3">
      <c r="B1939"/>
      <c r="C1939"/>
      <c r="D1939"/>
    </row>
    <row r="1940" spans="2:4" ht="16.5" x14ac:dyDescent="0.3">
      <c r="B1940"/>
      <c r="C1940"/>
      <c r="D1940"/>
    </row>
    <row r="1941" spans="2:4" ht="16.5" x14ac:dyDescent="0.3">
      <c r="B1941"/>
      <c r="C1941"/>
      <c r="D1941"/>
    </row>
    <row r="1942" spans="2:4" ht="16.5" x14ac:dyDescent="0.3">
      <c r="B1942"/>
      <c r="C1942"/>
      <c r="D1942"/>
    </row>
    <row r="1943" spans="2:4" ht="16.5" x14ac:dyDescent="0.3">
      <c r="B1943"/>
      <c r="C1943"/>
      <c r="D1943"/>
    </row>
    <row r="1944" spans="2:4" ht="16.5" x14ac:dyDescent="0.3">
      <c r="B1944"/>
      <c r="C1944"/>
      <c r="D1944"/>
    </row>
    <row r="1945" spans="2:4" ht="16.5" x14ac:dyDescent="0.3">
      <c r="B1945"/>
      <c r="C1945"/>
      <c r="D1945"/>
    </row>
    <row r="1946" spans="2:4" ht="16.5" x14ac:dyDescent="0.3">
      <c r="B1946"/>
      <c r="C1946"/>
      <c r="D1946"/>
    </row>
    <row r="1947" spans="2:4" ht="16.5" x14ac:dyDescent="0.3">
      <c r="B1947"/>
      <c r="C1947"/>
      <c r="D1947"/>
    </row>
    <row r="1948" spans="2:4" ht="16.5" x14ac:dyDescent="0.3">
      <c r="B1948"/>
      <c r="C1948"/>
      <c r="D1948"/>
    </row>
    <row r="1949" spans="2:4" ht="16.5" x14ac:dyDescent="0.3">
      <c r="B1949"/>
      <c r="C1949"/>
      <c r="D1949"/>
    </row>
    <row r="1950" spans="2:4" ht="16.5" x14ac:dyDescent="0.3">
      <c r="B1950"/>
      <c r="C1950"/>
      <c r="D1950"/>
    </row>
    <row r="1951" spans="2:4" ht="16.5" x14ac:dyDescent="0.3">
      <c r="B1951"/>
      <c r="C1951"/>
      <c r="D1951"/>
    </row>
    <row r="1952" spans="2:4" ht="16.5" x14ac:dyDescent="0.3">
      <c r="B1952"/>
      <c r="C1952"/>
      <c r="D1952"/>
    </row>
    <row r="1953" spans="2:4" ht="16.5" x14ac:dyDescent="0.3">
      <c r="B1953"/>
      <c r="C1953"/>
      <c r="D1953"/>
    </row>
    <row r="1954" spans="2:4" ht="16.5" x14ac:dyDescent="0.3">
      <c r="B1954"/>
      <c r="C1954"/>
      <c r="D1954"/>
    </row>
    <row r="1955" spans="2:4" ht="16.5" x14ac:dyDescent="0.3">
      <c r="B1955"/>
      <c r="C1955"/>
      <c r="D1955"/>
    </row>
    <row r="1956" spans="2:4" ht="16.5" x14ac:dyDescent="0.3">
      <c r="B1956"/>
      <c r="C1956"/>
      <c r="D1956"/>
    </row>
    <row r="1957" spans="2:4" ht="16.5" x14ac:dyDescent="0.3">
      <c r="B1957"/>
      <c r="C1957"/>
      <c r="D1957"/>
    </row>
    <row r="1958" spans="2:4" ht="16.5" x14ac:dyDescent="0.3">
      <c r="B1958"/>
      <c r="C1958"/>
      <c r="D1958"/>
    </row>
    <row r="1959" spans="2:4" ht="16.5" x14ac:dyDescent="0.3">
      <c r="B1959"/>
      <c r="C1959"/>
      <c r="D1959"/>
    </row>
    <row r="1960" spans="2:4" ht="16.5" x14ac:dyDescent="0.3">
      <c r="B1960"/>
      <c r="C1960"/>
      <c r="D1960"/>
    </row>
    <row r="1961" spans="2:4" ht="16.5" x14ac:dyDescent="0.3">
      <c r="B1961"/>
      <c r="C1961"/>
      <c r="D1961"/>
    </row>
    <row r="1962" spans="2:4" ht="16.5" x14ac:dyDescent="0.3">
      <c r="B1962"/>
      <c r="C1962"/>
      <c r="D1962"/>
    </row>
    <row r="1963" spans="2:4" ht="16.5" x14ac:dyDescent="0.3">
      <c r="B1963"/>
      <c r="C1963"/>
      <c r="D1963"/>
    </row>
    <row r="1964" spans="2:4" ht="16.5" x14ac:dyDescent="0.3">
      <c r="B1964"/>
      <c r="C1964"/>
      <c r="D1964"/>
    </row>
    <row r="1965" spans="2:4" ht="16.5" x14ac:dyDescent="0.3">
      <c r="B1965"/>
      <c r="C1965"/>
      <c r="D1965"/>
    </row>
    <row r="1966" spans="2:4" ht="16.5" x14ac:dyDescent="0.3">
      <c r="B1966"/>
      <c r="C1966"/>
      <c r="D1966"/>
    </row>
    <row r="1967" spans="2:4" ht="16.5" x14ac:dyDescent="0.3">
      <c r="B1967"/>
      <c r="C1967"/>
      <c r="D1967"/>
    </row>
    <row r="1968" spans="2:4" ht="16.5" x14ac:dyDescent="0.3">
      <c r="B1968"/>
      <c r="C1968"/>
      <c r="D1968"/>
    </row>
    <row r="1969" spans="2:4" ht="16.5" x14ac:dyDescent="0.3">
      <c r="B1969"/>
      <c r="C1969"/>
      <c r="D1969"/>
    </row>
    <row r="1970" spans="2:4" ht="16.5" x14ac:dyDescent="0.3">
      <c r="B1970"/>
      <c r="C1970"/>
      <c r="D1970"/>
    </row>
    <row r="1971" spans="2:4" ht="16.5" x14ac:dyDescent="0.3">
      <c r="B1971"/>
      <c r="C1971"/>
      <c r="D1971"/>
    </row>
    <row r="1972" spans="2:4" ht="16.5" x14ac:dyDescent="0.3">
      <c r="B1972"/>
      <c r="C1972"/>
      <c r="D1972"/>
    </row>
    <row r="1973" spans="2:4" ht="16.5" x14ac:dyDescent="0.3">
      <c r="B1973"/>
      <c r="C1973"/>
      <c r="D1973"/>
    </row>
    <row r="1974" spans="2:4" ht="16.5" x14ac:dyDescent="0.3">
      <c r="B1974"/>
      <c r="C1974"/>
      <c r="D1974"/>
    </row>
    <row r="1975" spans="2:4" ht="16.5" x14ac:dyDescent="0.3">
      <c r="B1975"/>
      <c r="C1975"/>
      <c r="D1975"/>
    </row>
    <row r="1976" spans="2:4" ht="16.5" x14ac:dyDescent="0.3">
      <c r="B1976"/>
      <c r="C1976"/>
      <c r="D1976"/>
    </row>
    <row r="1977" spans="2:4" ht="16.5" x14ac:dyDescent="0.3">
      <c r="B1977"/>
      <c r="C1977"/>
      <c r="D1977"/>
    </row>
    <row r="1978" spans="2:4" ht="16.5" x14ac:dyDescent="0.3">
      <c r="B1978"/>
      <c r="C1978"/>
      <c r="D1978"/>
    </row>
    <row r="1979" spans="2:4" ht="16.5" x14ac:dyDescent="0.3">
      <c r="B1979"/>
      <c r="C1979"/>
      <c r="D1979"/>
    </row>
    <row r="1980" spans="2:4" ht="16.5" x14ac:dyDescent="0.3">
      <c r="B1980"/>
      <c r="C1980"/>
      <c r="D1980"/>
    </row>
    <row r="1981" spans="2:4" ht="16.5" x14ac:dyDescent="0.3">
      <c r="B1981"/>
      <c r="C1981"/>
      <c r="D1981"/>
    </row>
    <row r="1982" spans="2:4" ht="16.5" x14ac:dyDescent="0.3">
      <c r="B1982"/>
      <c r="C1982"/>
      <c r="D1982"/>
    </row>
    <row r="1983" spans="2:4" ht="16.5" x14ac:dyDescent="0.3">
      <c r="B1983"/>
      <c r="C1983"/>
      <c r="D1983"/>
    </row>
    <row r="1984" spans="2:4" ht="16.5" x14ac:dyDescent="0.3">
      <c r="B1984"/>
      <c r="C1984"/>
      <c r="D1984"/>
    </row>
    <row r="1985" spans="2:4" ht="16.5" x14ac:dyDescent="0.3">
      <c r="B1985"/>
      <c r="C1985"/>
      <c r="D1985"/>
    </row>
    <row r="1986" spans="2:4" ht="16.5" x14ac:dyDescent="0.3">
      <c r="B1986"/>
      <c r="C1986"/>
      <c r="D1986"/>
    </row>
    <row r="1987" spans="2:4" ht="16.5" x14ac:dyDescent="0.3">
      <c r="B1987"/>
      <c r="C1987"/>
      <c r="D1987"/>
    </row>
    <row r="1988" spans="2:4" ht="16.5" x14ac:dyDescent="0.3">
      <c r="B1988"/>
      <c r="C1988"/>
      <c r="D1988"/>
    </row>
    <row r="1989" spans="2:4" ht="16.5" x14ac:dyDescent="0.3">
      <c r="B1989"/>
      <c r="C1989"/>
      <c r="D1989"/>
    </row>
    <row r="1990" spans="2:4" ht="16.5" x14ac:dyDescent="0.3">
      <c r="B1990"/>
      <c r="C1990"/>
      <c r="D1990"/>
    </row>
    <row r="1991" spans="2:4" ht="16.5" x14ac:dyDescent="0.3">
      <c r="B1991"/>
      <c r="C1991"/>
      <c r="D1991"/>
    </row>
    <row r="1992" spans="2:4" ht="16.5" x14ac:dyDescent="0.3">
      <c r="B1992"/>
      <c r="C1992"/>
      <c r="D1992"/>
    </row>
    <row r="1993" spans="2:4" ht="16.5" x14ac:dyDescent="0.3">
      <c r="B1993"/>
      <c r="C1993"/>
      <c r="D1993"/>
    </row>
    <row r="1994" spans="2:4" ht="16.5" x14ac:dyDescent="0.3">
      <c r="B1994"/>
      <c r="C1994"/>
      <c r="D1994"/>
    </row>
    <row r="1995" spans="2:4" ht="16.5" x14ac:dyDescent="0.3">
      <c r="B1995"/>
      <c r="C1995"/>
      <c r="D1995"/>
    </row>
    <row r="1996" spans="2:4" ht="16.5" x14ac:dyDescent="0.3">
      <c r="B1996"/>
      <c r="C1996"/>
      <c r="D1996"/>
    </row>
    <row r="1997" spans="2:4" ht="16.5" x14ac:dyDescent="0.3">
      <c r="B1997"/>
      <c r="C1997"/>
      <c r="D1997"/>
    </row>
    <row r="1998" spans="2:4" ht="16.5" x14ac:dyDescent="0.3">
      <c r="B1998"/>
      <c r="C1998"/>
      <c r="D1998"/>
    </row>
    <row r="1999" spans="2:4" ht="16.5" x14ac:dyDescent="0.3">
      <c r="B1999"/>
      <c r="C1999"/>
      <c r="D1999"/>
    </row>
    <row r="2000" spans="2:4" ht="16.5" x14ac:dyDescent="0.3">
      <c r="B2000"/>
      <c r="C2000"/>
      <c r="D2000"/>
    </row>
    <row r="2001" spans="2:4" ht="16.5" x14ac:dyDescent="0.3">
      <c r="B2001"/>
      <c r="C2001"/>
      <c r="D2001"/>
    </row>
    <row r="2002" spans="2:4" ht="16.5" x14ac:dyDescent="0.3">
      <c r="B2002"/>
      <c r="C2002"/>
      <c r="D2002"/>
    </row>
    <row r="2003" spans="2:4" ht="16.5" x14ac:dyDescent="0.3">
      <c r="B2003"/>
      <c r="C2003"/>
      <c r="D2003"/>
    </row>
    <row r="2004" spans="2:4" ht="16.5" x14ac:dyDescent="0.3">
      <c r="B2004"/>
      <c r="C2004"/>
      <c r="D2004"/>
    </row>
    <row r="2005" spans="2:4" ht="16.5" x14ac:dyDescent="0.3">
      <c r="B2005"/>
      <c r="C2005"/>
      <c r="D2005"/>
    </row>
    <row r="2006" spans="2:4" ht="16.5" x14ac:dyDescent="0.3">
      <c r="B2006"/>
      <c r="C2006"/>
      <c r="D2006"/>
    </row>
    <row r="2007" spans="2:4" ht="16.5" x14ac:dyDescent="0.3">
      <c r="B2007"/>
      <c r="C2007"/>
      <c r="D2007"/>
    </row>
    <row r="2008" spans="2:4" ht="16.5" x14ac:dyDescent="0.3">
      <c r="B2008"/>
      <c r="C2008"/>
      <c r="D2008"/>
    </row>
  </sheetData>
  <mergeCells count="1">
    <mergeCell ref="I5:T5"/>
  </mergeCells>
  <pageMargins left="0.7" right="0.7" top="0.75" bottom="0.75" header="0.3" footer="0.3"/>
  <pageSetup paperSize="9" orientation="portrait" horizontalDpi="0" verticalDpi="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651A8-C0AA-4A95-9196-BD47E5F73D7E}">
  <dimension ref="E3:I44"/>
  <sheetViews>
    <sheetView showGridLines="0" workbookViewId="0">
      <selection activeCell="H22" sqref="H22"/>
    </sheetView>
  </sheetViews>
  <sheetFormatPr defaultColWidth="8.85546875" defaultRowHeight="12.75" x14ac:dyDescent="0.2"/>
  <cols>
    <col min="1" max="5" width="4.7109375" style="5" customWidth="1"/>
    <col min="6" max="6" width="19.140625" style="5" bestFit="1" customWidth="1"/>
    <col min="7" max="7" width="18.7109375" style="5" customWidth="1"/>
    <col min="8" max="8" width="105.42578125" style="5" customWidth="1"/>
    <col min="9" max="9" width="31" style="5" customWidth="1"/>
    <col min="10" max="10" width="24.42578125" style="5" customWidth="1"/>
    <col min="11" max="260" width="9.140625" style="5"/>
    <col min="261" max="261" width="25.85546875" style="5" customWidth="1"/>
    <col min="262" max="265" width="31" style="5" customWidth="1"/>
    <col min="266" max="266" width="24.42578125" style="5" customWidth="1"/>
    <col min="267" max="516" width="9.140625" style="5"/>
    <col min="517" max="517" width="25.85546875" style="5" customWidth="1"/>
    <col min="518" max="521" width="31" style="5" customWidth="1"/>
    <col min="522" max="522" width="24.42578125" style="5" customWidth="1"/>
    <col min="523" max="772" width="9.140625" style="5"/>
    <col min="773" max="773" width="25.85546875" style="5" customWidth="1"/>
    <col min="774" max="777" width="31" style="5" customWidth="1"/>
    <col min="778" max="778" width="24.42578125" style="5" customWidth="1"/>
    <col min="779" max="1028" width="9.140625" style="5"/>
    <col min="1029" max="1029" width="25.85546875" style="5" customWidth="1"/>
    <col min="1030" max="1033" width="31" style="5" customWidth="1"/>
    <col min="1034" max="1034" width="24.42578125" style="5" customWidth="1"/>
    <col min="1035" max="1284" width="9.140625" style="5"/>
    <col min="1285" max="1285" width="25.85546875" style="5" customWidth="1"/>
    <col min="1286" max="1289" width="31" style="5" customWidth="1"/>
    <col min="1290" max="1290" width="24.42578125" style="5" customWidth="1"/>
    <col min="1291" max="1540" width="9.140625" style="5"/>
    <col min="1541" max="1541" width="25.85546875" style="5" customWidth="1"/>
    <col min="1542" max="1545" width="31" style="5" customWidth="1"/>
    <col min="1546" max="1546" width="24.42578125" style="5" customWidth="1"/>
    <col min="1547" max="1796" width="9.140625" style="5"/>
    <col min="1797" max="1797" width="25.85546875" style="5" customWidth="1"/>
    <col min="1798" max="1801" width="31" style="5" customWidth="1"/>
    <col min="1802" max="1802" width="24.42578125" style="5" customWidth="1"/>
    <col min="1803" max="2052" width="9.140625" style="5"/>
    <col min="2053" max="2053" width="25.85546875" style="5" customWidth="1"/>
    <col min="2054" max="2057" width="31" style="5" customWidth="1"/>
    <col min="2058" max="2058" width="24.42578125" style="5" customWidth="1"/>
    <col min="2059" max="2308" width="9.140625" style="5"/>
    <col min="2309" max="2309" width="25.85546875" style="5" customWidth="1"/>
    <col min="2310" max="2313" width="31" style="5" customWidth="1"/>
    <col min="2314" max="2314" width="24.42578125" style="5" customWidth="1"/>
    <col min="2315" max="2564" width="9.140625" style="5"/>
    <col min="2565" max="2565" width="25.85546875" style="5" customWidth="1"/>
    <col min="2566" max="2569" width="31" style="5" customWidth="1"/>
    <col min="2570" max="2570" width="24.42578125" style="5" customWidth="1"/>
    <col min="2571" max="2820" width="9.140625" style="5"/>
    <col min="2821" max="2821" width="25.85546875" style="5" customWidth="1"/>
    <col min="2822" max="2825" width="31" style="5" customWidth="1"/>
    <col min="2826" max="2826" width="24.42578125" style="5" customWidth="1"/>
    <col min="2827" max="3076" width="9.140625" style="5"/>
    <col min="3077" max="3077" width="25.85546875" style="5" customWidth="1"/>
    <col min="3078" max="3081" width="31" style="5" customWidth="1"/>
    <col min="3082" max="3082" width="24.42578125" style="5" customWidth="1"/>
    <col min="3083" max="3332" width="9.140625" style="5"/>
    <col min="3333" max="3333" width="25.85546875" style="5" customWidth="1"/>
    <col min="3334" max="3337" width="31" style="5" customWidth="1"/>
    <col min="3338" max="3338" width="24.42578125" style="5" customWidth="1"/>
    <col min="3339" max="3588" width="9.140625" style="5"/>
    <col min="3589" max="3589" width="25.85546875" style="5" customWidth="1"/>
    <col min="3590" max="3593" width="31" style="5" customWidth="1"/>
    <col min="3594" max="3594" width="24.42578125" style="5" customWidth="1"/>
    <col min="3595" max="3844" width="9.140625" style="5"/>
    <col min="3845" max="3845" width="25.85546875" style="5" customWidth="1"/>
    <col min="3846" max="3849" width="31" style="5" customWidth="1"/>
    <col min="3850" max="3850" width="24.42578125" style="5" customWidth="1"/>
    <col min="3851" max="4100" width="9.140625" style="5"/>
    <col min="4101" max="4101" width="25.85546875" style="5" customWidth="1"/>
    <col min="4102" max="4105" width="31" style="5" customWidth="1"/>
    <col min="4106" max="4106" width="24.42578125" style="5" customWidth="1"/>
    <col min="4107" max="4356" width="9.140625" style="5"/>
    <col min="4357" max="4357" width="25.85546875" style="5" customWidth="1"/>
    <col min="4358" max="4361" width="31" style="5" customWidth="1"/>
    <col min="4362" max="4362" width="24.42578125" style="5" customWidth="1"/>
    <col min="4363" max="4612" width="9.140625" style="5"/>
    <col min="4613" max="4613" width="25.85546875" style="5" customWidth="1"/>
    <col min="4614" max="4617" width="31" style="5" customWidth="1"/>
    <col min="4618" max="4618" width="24.42578125" style="5" customWidth="1"/>
    <col min="4619" max="4868" width="9.140625" style="5"/>
    <col min="4869" max="4869" width="25.85546875" style="5" customWidth="1"/>
    <col min="4870" max="4873" width="31" style="5" customWidth="1"/>
    <col min="4874" max="4874" width="24.42578125" style="5" customWidth="1"/>
    <col min="4875" max="5124" width="9.140625" style="5"/>
    <col min="5125" max="5125" width="25.85546875" style="5" customWidth="1"/>
    <col min="5126" max="5129" width="31" style="5" customWidth="1"/>
    <col min="5130" max="5130" width="24.42578125" style="5" customWidth="1"/>
    <col min="5131" max="5380" width="9.140625" style="5"/>
    <col min="5381" max="5381" width="25.85546875" style="5" customWidth="1"/>
    <col min="5382" max="5385" width="31" style="5" customWidth="1"/>
    <col min="5386" max="5386" width="24.42578125" style="5" customWidth="1"/>
    <col min="5387" max="5636" width="9.140625" style="5"/>
    <col min="5637" max="5637" width="25.85546875" style="5" customWidth="1"/>
    <col min="5638" max="5641" width="31" style="5" customWidth="1"/>
    <col min="5642" max="5642" width="24.42578125" style="5" customWidth="1"/>
    <col min="5643" max="5892" width="9.140625" style="5"/>
    <col min="5893" max="5893" width="25.85546875" style="5" customWidth="1"/>
    <col min="5894" max="5897" width="31" style="5" customWidth="1"/>
    <col min="5898" max="5898" width="24.42578125" style="5" customWidth="1"/>
    <col min="5899" max="6148" width="9.140625" style="5"/>
    <col min="6149" max="6149" width="25.85546875" style="5" customWidth="1"/>
    <col min="6150" max="6153" width="31" style="5" customWidth="1"/>
    <col min="6154" max="6154" width="24.42578125" style="5" customWidth="1"/>
    <col min="6155" max="6404" width="9.140625" style="5"/>
    <col min="6405" max="6405" width="25.85546875" style="5" customWidth="1"/>
    <col min="6406" max="6409" width="31" style="5" customWidth="1"/>
    <col min="6410" max="6410" width="24.42578125" style="5" customWidth="1"/>
    <col min="6411" max="6660" width="9.140625" style="5"/>
    <col min="6661" max="6661" width="25.85546875" style="5" customWidth="1"/>
    <col min="6662" max="6665" width="31" style="5" customWidth="1"/>
    <col min="6666" max="6666" width="24.42578125" style="5" customWidth="1"/>
    <col min="6667" max="6916" width="9.140625" style="5"/>
    <col min="6917" max="6917" width="25.85546875" style="5" customWidth="1"/>
    <col min="6918" max="6921" width="31" style="5" customWidth="1"/>
    <col min="6922" max="6922" width="24.42578125" style="5" customWidth="1"/>
    <col min="6923" max="7172" width="9.140625" style="5"/>
    <col min="7173" max="7173" width="25.85546875" style="5" customWidth="1"/>
    <col min="7174" max="7177" width="31" style="5" customWidth="1"/>
    <col min="7178" max="7178" width="24.42578125" style="5" customWidth="1"/>
    <col min="7179" max="7428" width="9.140625" style="5"/>
    <col min="7429" max="7429" width="25.85546875" style="5" customWidth="1"/>
    <col min="7430" max="7433" width="31" style="5" customWidth="1"/>
    <col min="7434" max="7434" width="24.42578125" style="5" customWidth="1"/>
    <col min="7435" max="7684" width="9.140625" style="5"/>
    <col min="7685" max="7685" width="25.85546875" style="5" customWidth="1"/>
    <col min="7686" max="7689" width="31" style="5" customWidth="1"/>
    <col min="7690" max="7690" width="24.42578125" style="5" customWidth="1"/>
    <col min="7691" max="7940" width="9.140625" style="5"/>
    <col min="7941" max="7941" width="25.85546875" style="5" customWidth="1"/>
    <col min="7942" max="7945" width="31" style="5" customWidth="1"/>
    <col min="7946" max="7946" width="24.42578125" style="5" customWidth="1"/>
    <col min="7947" max="8196" width="9.140625" style="5"/>
    <col min="8197" max="8197" width="25.85546875" style="5" customWidth="1"/>
    <col min="8198" max="8201" width="31" style="5" customWidth="1"/>
    <col min="8202" max="8202" width="24.42578125" style="5" customWidth="1"/>
    <col min="8203" max="8452" width="9.140625" style="5"/>
    <col min="8453" max="8453" width="25.85546875" style="5" customWidth="1"/>
    <col min="8454" max="8457" width="31" style="5" customWidth="1"/>
    <col min="8458" max="8458" width="24.42578125" style="5" customWidth="1"/>
    <col min="8459" max="8708" width="9.140625" style="5"/>
    <col min="8709" max="8709" width="25.85546875" style="5" customWidth="1"/>
    <col min="8710" max="8713" width="31" style="5" customWidth="1"/>
    <col min="8714" max="8714" width="24.42578125" style="5" customWidth="1"/>
    <col min="8715" max="8964" width="9.140625" style="5"/>
    <col min="8965" max="8965" width="25.85546875" style="5" customWidth="1"/>
    <col min="8966" max="8969" width="31" style="5" customWidth="1"/>
    <col min="8970" max="8970" width="24.42578125" style="5" customWidth="1"/>
    <col min="8971" max="9220" width="9.140625" style="5"/>
    <col min="9221" max="9221" width="25.85546875" style="5" customWidth="1"/>
    <col min="9222" max="9225" width="31" style="5" customWidth="1"/>
    <col min="9226" max="9226" width="24.42578125" style="5" customWidth="1"/>
    <col min="9227" max="9476" width="9.140625" style="5"/>
    <col min="9477" max="9477" width="25.85546875" style="5" customWidth="1"/>
    <col min="9478" max="9481" width="31" style="5" customWidth="1"/>
    <col min="9482" max="9482" width="24.42578125" style="5" customWidth="1"/>
    <col min="9483" max="9732" width="9.140625" style="5"/>
    <col min="9733" max="9733" width="25.85546875" style="5" customWidth="1"/>
    <col min="9734" max="9737" width="31" style="5" customWidth="1"/>
    <col min="9738" max="9738" width="24.42578125" style="5" customWidth="1"/>
    <col min="9739" max="9988" width="9.140625" style="5"/>
    <col min="9989" max="9989" width="25.85546875" style="5" customWidth="1"/>
    <col min="9990" max="9993" width="31" style="5" customWidth="1"/>
    <col min="9994" max="9994" width="24.42578125" style="5" customWidth="1"/>
    <col min="9995" max="10244" width="9.140625" style="5"/>
    <col min="10245" max="10245" width="25.85546875" style="5" customWidth="1"/>
    <col min="10246" max="10249" width="31" style="5" customWidth="1"/>
    <col min="10250" max="10250" width="24.42578125" style="5" customWidth="1"/>
    <col min="10251" max="10500" width="9.140625" style="5"/>
    <col min="10501" max="10501" width="25.85546875" style="5" customWidth="1"/>
    <col min="10502" max="10505" width="31" style="5" customWidth="1"/>
    <col min="10506" max="10506" width="24.42578125" style="5" customWidth="1"/>
    <col min="10507" max="10756" width="9.140625" style="5"/>
    <col min="10757" max="10757" width="25.85546875" style="5" customWidth="1"/>
    <col min="10758" max="10761" width="31" style="5" customWidth="1"/>
    <col min="10762" max="10762" width="24.42578125" style="5" customWidth="1"/>
    <col min="10763" max="11012" width="9.140625" style="5"/>
    <col min="11013" max="11013" width="25.85546875" style="5" customWidth="1"/>
    <col min="11014" max="11017" width="31" style="5" customWidth="1"/>
    <col min="11018" max="11018" width="24.42578125" style="5" customWidth="1"/>
    <col min="11019" max="11268" width="9.140625" style="5"/>
    <col min="11269" max="11269" width="25.85546875" style="5" customWidth="1"/>
    <col min="11270" max="11273" width="31" style="5" customWidth="1"/>
    <col min="11274" max="11274" width="24.42578125" style="5" customWidth="1"/>
    <col min="11275" max="11524" width="9.140625" style="5"/>
    <col min="11525" max="11525" width="25.85546875" style="5" customWidth="1"/>
    <col min="11526" max="11529" width="31" style="5" customWidth="1"/>
    <col min="11530" max="11530" width="24.42578125" style="5" customWidth="1"/>
    <col min="11531" max="11780" width="9.140625" style="5"/>
    <col min="11781" max="11781" width="25.85546875" style="5" customWidth="1"/>
    <col min="11782" max="11785" width="31" style="5" customWidth="1"/>
    <col min="11786" max="11786" width="24.42578125" style="5" customWidth="1"/>
    <col min="11787" max="12036" width="9.140625" style="5"/>
    <col min="12037" max="12037" width="25.85546875" style="5" customWidth="1"/>
    <col min="12038" max="12041" width="31" style="5" customWidth="1"/>
    <col min="12042" max="12042" width="24.42578125" style="5" customWidth="1"/>
    <col min="12043" max="12292" width="9.140625" style="5"/>
    <col min="12293" max="12293" width="25.85546875" style="5" customWidth="1"/>
    <col min="12294" max="12297" width="31" style="5" customWidth="1"/>
    <col min="12298" max="12298" width="24.42578125" style="5" customWidth="1"/>
    <col min="12299" max="12548" width="9.140625" style="5"/>
    <col min="12549" max="12549" width="25.85546875" style="5" customWidth="1"/>
    <col min="12550" max="12553" width="31" style="5" customWidth="1"/>
    <col min="12554" max="12554" width="24.42578125" style="5" customWidth="1"/>
    <col min="12555" max="12804" width="9.140625" style="5"/>
    <col min="12805" max="12805" width="25.85546875" style="5" customWidth="1"/>
    <col min="12806" max="12809" width="31" style="5" customWidth="1"/>
    <col min="12810" max="12810" width="24.42578125" style="5" customWidth="1"/>
    <col min="12811" max="13060" width="9.140625" style="5"/>
    <col min="13061" max="13061" width="25.85546875" style="5" customWidth="1"/>
    <col min="13062" max="13065" width="31" style="5" customWidth="1"/>
    <col min="13066" max="13066" width="24.42578125" style="5" customWidth="1"/>
    <col min="13067" max="13316" width="9.140625" style="5"/>
    <col min="13317" max="13317" width="25.85546875" style="5" customWidth="1"/>
    <col min="13318" max="13321" width="31" style="5" customWidth="1"/>
    <col min="13322" max="13322" width="24.42578125" style="5" customWidth="1"/>
    <col min="13323" max="13572" width="9.140625" style="5"/>
    <col min="13573" max="13573" width="25.85546875" style="5" customWidth="1"/>
    <col min="13574" max="13577" width="31" style="5" customWidth="1"/>
    <col min="13578" max="13578" width="24.42578125" style="5" customWidth="1"/>
    <col min="13579" max="13828" width="9.140625" style="5"/>
    <col min="13829" max="13829" width="25.85546875" style="5" customWidth="1"/>
    <col min="13830" max="13833" width="31" style="5" customWidth="1"/>
    <col min="13834" max="13834" width="24.42578125" style="5" customWidth="1"/>
    <col min="13835" max="14084" width="9.140625" style="5"/>
    <col min="14085" max="14085" width="25.85546875" style="5" customWidth="1"/>
    <col min="14086" max="14089" width="31" style="5" customWidth="1"/>
    <col min="14090" max="14090" width="24.42578125" style="5" customWidth="1"/>
    <col min="14091" max="14340" width="9.140625" style="5"/>
    <col min="14341" max="14341" width="25.85546875" style="5" customWidth="1"/>
    <col min="14342" max="14345" width="31" style="5" customWidth="1"/>
    <col min="14346" max="14346" width="24.42578125" style="5" customWidth="1"/>
    <col min="14347" max="14596" width="9.140625" style="5"/>
    <col min="14597" max="14597" width="25.85546875" style="5" customWidth="1"/>
    <col min="14598" max="14601" width="31" style="5" customWidth="1"/>
    <col min="14602" max="14602" width="24.42578125" style="5" customWidth="1"/>
    <col min="14603" max="14852" width="9.140625" style="5"/>
    <col min="14853" max="14853" width="25.85546875" style="5" customWidth="1"/>
    <col min="14854" max="14857" width="31" style="5" customWidth="1"/>
    <col min="14858" max="14858" width="24.42578125" style="5" customWidth="1"/>
    <col min="14859" max="15108" width="9.140625" style="5"/>
    <col min="15109" max="15109" width="25.85546875" style="5" customWidth="1"/>
    <col min="15110" max="15113" width="31" style="5" customWidth="1"/>
    <col min="15114" max="15114" width="24.42578125" style="5" customWidth="1"/>
    <col min="15115" max="15364" width="9.140625" style="5"/>
    <col min="15365" max="15365" width="25.85546875" style="5" customWidth="1"/>
    <col min="15366" max="15369" width="31" style="5" customWidth="1"/>
    <col min="15370" max="15370" width="24.42578125" style="5" customWidth="1"/>
    <col min="15371" max="15620" width="9.140625" style="5"/>
    <col min="15621" max="15621" width="25.85546875" style="5" customWidth="1"/>
    <col min="15622" max="15625" width="31" style="5" customWidth="1"/>
    <col min="15626" max="15626" width="24.42578125" style="5" customWidth="1"/>
    <col min="15627" max="15876" width="9.140625" style="5"/>
    <col min="15877" max="15877" width="25.85546875" style="5" customWidth="1"/>
    <col min="15878" max="15881" width="31" style="5" customWidth="1"/>
    <col min="15882" max="15882" width="24.42578125" style="5" customWidth="1"/>
    <col min="15883" max="16132" width="9.140625" style="5"/>
    <col min="16133" max="16133" width="25.85546875" style="5" customWidth="1"/>
    <col min="16134" max="16137" width="31" style="5" customWidth="1"/>
    <col min="16138" max="16138" width="24.42578125" style="5" customWidth="1"/>
    <col min="16139" max="16384" width="9.140625" style="5"/>
  </cols>
  <sheetData>
    <row r="3" spans="5:9" ht="14.25" x14ac:dyDescent="0.2">
      <c r="F3" s="185" t="s">
        <v>72</v>
      </c>
      <c r="G3" s="184" t="s">
        <v>73</v>
      </c>
      <c r="H3" s="186" t="s">
        <v>61</v>
      </c>
    </row>
    <row r="4" spans="5:9" ht="14.25" x14ac:dyDescent="0.2">
      <c r="F4" s="187" t="s">
        <v>77</v>
      </c>
      <c r="G4" s="14" t="s">
        <v>83</v>
      </c>
      <c r="H4" s="188"/>
    </row>
    <row r="5" spans="5:9" ht="30" x14ac:dyDescent="0.2">
      <c r="F5" s="191" t="s">
        <v>74</v>
      </c>
      <c r="G5" s="192">
        <v>1</v>
      </c>
      <c r="H5" s="189" t="s">
        <v>509</v>
      </c>
    </row>
    <row r="6" spans="5:9" ht="54.75" customHeight="1" x14ac:dyDescent="0.2">
      <c r="E6" s="6"/>
      <c r="F6" s="191" t="s">
        <v>14</v>
      </c>
      <c r="G6" s="192">
        <v>2</v>
      </c>
      <c r="H6" s="189" t="s">
        <v>510</v>
      </c>
      <c r="I6" s="7"/>
    </row>
    <row r="7" spans="5:9" ht="66" customHeight="1" x14ac:dyDescent="0.2">
      <c r="F7" s="191" t="s">
        <v>8</v>
      </c>
      <c r="G7" s="192">
        <v>3</v>
      </c>
      <c r="H7" s="189" t="s">
        <v>511</v>
      </c>
    </row>
    <row r="8" spans="5:9" ht="63.75" customHeight="1" x14ac:dyDescent="0.2">
      <c r="F8" s="191" t="s">
        <v>12</v>
      </c>
      <c r="G8" s="192">
        <v>4</v>
      </c>
      <c r="H8" s="189" t="s">
        <v>512</v>
      </c>
    </row>
    <row r="9" spans="5:9" ht="30" x14ac:dyDescent="0.2">
      <c r="F9" s="193" t="s">
        <v>75</v>
      </c>
      <c r="G9" s="194">
        <v>5</v>
      </c>
      <c r="H9" s="190" t="s">
        <v>513</v>
      </c>
    </row>
    <row r="11" spans="5:9" ht="50.25" customHeight="1" x14ac:dyDescent="0.2">
      <c r="F11" s="174" t="s">
        <v>482</v>
      </c>
      <c r="G11" s="174"/>
      <c r="H11" s="174"/>
    </row>
    <row r="13" spans="5:9" ht="15" x14ac:dyDescent="0.25">
      <c r="F13"/>
    </row>
    <row r="15" spans="5:9" ht="14.25" x14ac:dyDescent="0.2">
      <c r="F15" s="185" t="s">
        <v>70</v>
      </c>
      <c r="G15" s="183" t="s">
        <v>71</v>
      </c>
      <c r="H15" s="186" t="s">
        <v>61</v>
      </c>
    </row>
    <row r="16" spans="5:9" ht="14.25" x14ac:dyDescent="0.2">
      <c r="F16" s="187" t="s">
        <v>62</v>
      </c>
      <c r="G16" s="14" t="s">
        <v>83</v>
      </c>
      <c r="H16" s="188"/>
    </row>
    <row r="17" spans="6:9" ht="14.25" x14ac:dyDescent="0.2">
      <c r="F17" s="187" t="s">
        <v>11</v>
      </c>
      <c r="G17" s="78">
        <v>1</v>
      </c>
      <c r="H17" s="188" t="s">
        <v>69</v>
      </c>
    </row>
    <row r="18" spans="6:9" ht="14.25" x14ac:dyDescent="0.2">
      <c r="F18" s="187" t="s">
        <v>10</v>
      </c>
      <c r="G18" s="78">
        <v>2</v>
      </c>
      <c r="H18" s="188" t="s">
        <v>68</v>
      </c>
    </row>
    <row r="19" spans="6:9" ht="14.25" x14ac:dyDescent="0.2">
      <c r="F19" s="187" t="s">
        <v>66</v>
      </c>
      <c r="G19" s="78">
        <v>3</v>
      </c>
      <c r="H19" s="188" t="s">
        <v>67</v>
      </c>
    </row>
    <row r="20" spans="6:9" ht="14.25" x14ac:dyDescent="0.2">
      <c r="F20" s="187" t="s">
        <v>9</v>
      </c>
      <c r="G20" s="78">
        <v>4</v>
      </c>
      <c r="H20" s="188" t="s">
        <v>65</v>
      </c>
    </row>
    <row r="21" spans="6:9" ht="14.25" x14ac:dyDescent="0.2">
      <c r="F21" s="195" t="s">
        <v>63</v>
      </c>
      <c r="G21" s="196">
        <v>5</v>
      </c>
      <c r="H21" s="197" t="s">
        <v>64</v>
      </c>
    </row>
    <row r="24" spans="6:9" ht="44.25" customHeight="1" x14ac:dyDescent="0.2">
      <c r="F24" s="174"/>
      <c r="G24" s="174"/>
      <c r="H24" s="174"/>
    </row>
    <row r="28" spans="6:9" x14ac:dyDescent="0.2">
      <c r="F28" s="175"/>
      <c r="G28" s="175"/>
    </row>
    <row r="29" spans="6:9" ht="14.25" x14ac:dyDescent="0.2">
      <c r="F29" s="12" t="s">
        <v>81</v>
      </c>
      <c r="G29" s="12" t="s">
        <v>82</v>
      </c>
    </row>
    <row r="30" spans="6:9" ht="14.25" x14ac:dyDescent="0.2">
      <c r="F30" s="14">
        <v>0</v>
      </c>
      <c r="G30" s="14" t="s">
        <v>83</v>
      </c>
    </row>
    <row r="31" spans="6:9" ht="15" x14ac:dyDescent="0.2">
      <c r="F31" s="182">
        <v>1</v>
      </c>
      <c r="G31" s="182" t="s">
        <v>14</v>
      </c>
      <c r="H31" s="13"/>
      <c r="I31" s="13"/>
    </row>
    <row r="32" spans="6:9" ht="15" x14ac:dyDescent="0.2">
      <c r="F32" s="182">
        <v>2</v>
      </c>
      <c r="G32" s="182" t="s">
        <v>14</v>
      </c>
      <c r="H32" s="13"/>
      <c r="I32" s="13"/>
    </row>
    <row r="33" spans="6:9" ht="15" x14ac:dyDescent="0.2">
      <c r="F33" s="182">
        <v>3</v>
      </c>
      <c r="G33" s="182" t="s">
        <v>14</v>
      </c>
      <c r="H33" s="13"/>
      <c r="I33" s="13"/>
    </row>
    <row r="34" spans="6:9" ht="15" x14ac:dyDescent="0.2">
      <c r="F34" s="182">
        <v>4</v>
      </c>
      <c r="G34" s="182" t="s">
        <v>14</v>
      </c>
      <c r="H34" s="13"/>
      <c r="I34" s="13"/>
    </row>
    <row r="35" spans="6:9" ht="15" x14ac:dyDescent="0.2">
      <c r="F35" s="181">
        <v>5</v>
      </c>
      <c r="G35" s="181" t="s">
        <v>13</v>
      </c>
      <c r="H35" s="13"/>
      <c r="I35" s="13"/>
    </row>
    <row r="36" spans="6:9" ht="15" x14ac:dyDescent="0.2">
      <c r="F36" s="181">
        <v>6</v>
      </c>
      <c r="G36" s="181" t="s">
        <v>13</v>
      </c>
      <c r="H36" s="13"/>
      <c r="I36" s="13"/>
    </row>
    <row r="37" spans="6:9" ht="15" x14ac:dyDescent="0.2">
      <c r="F37" s="181">
        <v>8</v>
      </c>
      <c r="G37" s="181" t="s">
        <v>13</v>
      </c>
      <c r="H37" s="13"/>
      <c r="I37" s="13"/>
    </row>
    <row r="38" spans="6:9" ht="15" x14ac:dyDescent="0.2">
      <c r="F38" s="181">
        <v>9</v>
      </c>
      <c r="G38" s="181" t="s">
        <v>13</v>
      </c>
      <c r="H38" s="13"/>
      <c r="I38" s="13"/>
    </row>
    <row r="39" spans="6:9" ht="15" x14ac:dyDescent="0.2">
      <c r="F39" s="181">
        <v>10</v>
      </c>
      <c r="G39" s="181" t="s">
        <v>13</v>
      </c>
      <c r="H39" s="13"/>
      <c r="I39" s="13"/>
    </row>
    <row r="40" spans="6:9" ht="15" x14ac:dyDescent="0.2">
      <c r="F40" s="181">
        <v>12</v>
      </c>
      <c r="G40" s="181" t="s">
        <v>13</v>
      </c>
      <c r="H40" s="13"/>
      <c r="I40" s="13"/>
    </row>
    <row r="41" spans="6:9" ht="14.25" x14ac:dyDescent="0.2">
      <c r="F41" s="181">
        <v>15</v>
      </c>
      <c r="G41" s="181" t="s">
        <v>13</v>
      </c>
    </row>
    <row r="42" spans="6:9" ht="14.25" x14ac:dyDescent="0.2">
      <c r="F42" s="181">
        <v>16</v>
      </c>
      <c r="G42" s="181" t="s">
        <v>13</v>
      </c>
    </row>
    <row r="43" spans="6:9" ht="14.25" x14ac:dyDescent="0.2">
      <c r="F43" s="180">
        <v>20</v>
      </c>
      <c r="G43" s="180" t="s">
        <v>12</v>
      </c>
    </row>
    <row r="44" spans="6:9" ht="14.25" x14ac:dyDescent="0.2">
      <c r="F44" s="180">
        <v>25</v>
      </c>
      <c r="G44" s="180" t="s">
        <v>12</v>
      </c>
    </row>
  </sheetData>
  <mergeCells count="3">
    <mergeCell ref="F24:H24"/>
    <mergeCell ref="F11:H11"/>
    <mergeCell ref="F28:G28"/>
  </mergeCells>
  <pageMargins left="0.7" right="0.7" top="0.75" bottom="0.75" header="0.3" footer="0.3"/>
  <pageSetup paperSize="9" orientation="portrait" horizontalDpi="0" verticalDpi="0"/>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2CB67-4E0D-43B8-9947-BC48ABB27053}">
  <dimension ref="C1:D50"/>
  <sheetViews>
    <sheetView showGridLines="0" workbookViewId="0">
      <selection activeCell="C19" sqref="C19"/>
    </sheetView>
  </sheetViews>
  <sheetFormatPr defaultColWidth="9.140625" defaultRowHeight="14.25" x14ac:dyDescent="0.25"/>
  <cols>
    <col min="1" max="2" width="9.140625" style="4"/>
    <col min="3" max="3" width="40.7109375" style="4" customWidth="1"/>
    <col min="4" max="4" width="79" style="4" customWidth="1"/>
    <col min="5" max="5" width="10.42578125" style="4" bestFit="1" customWidth="1"/>
    <col min="6" max="16384" width="9.140625" style="4"/>
  </cols>
  <sheetData>
    <row r="1" spans="3:3" x14ac:dyDescent="0.25">
      <c r="C1" s="12" t="s">
        <v>20</v>
      </c>
    </row>
    <row r="2" spans="3:3" x14ac:dyDescent="0.25">
      <c r="C2" s="14" t="s">
        <v>76</v>
      </c>
    </row>
    <row r="3" spans="3:3" x14ac:dyDescent="0.25">
      <c r="C3" s="10" t="s">
        <v>16</v>
      </c>
    </row>
    <row r="4" spans="3:3" x14ac:dyDescent="0.25">
      <c r="C4" s="10" t="s">
        <v>21</v>
      </c>
    </row>
    <row r="5" spans="3:3" x14ac:dyDescent="0.25">
      <c r="C5" s="10" t="s">
        <v>23</v>
      </c>
    </row>
    <row r="6" spans="3:3" x14ac:dyDescent="0.25">
      <c r="C6" s="10" t="s">
        <v>22</v>
      </c>
    </row>
    <row r="11" spans="3:3" x14ac:dyDescent="0.25">
      <c r="C11" s="12" t="s">
        <v>17</v>
      </c>
    </row>
    <row r="12" spans="3:3" x14ac:dyDescent="0.25">
      <c r="C12" s="14" t="s">
        <v>78</v>
      </c>
    </row>
    <row r="13" spans="3:3" x14ac:dyDescent="0.25">
      <c r="C13" s="10" t="s">
        <v>18</v>
      </c>
    </row>
    <row r="14" spans="3:3" x14ac:dyDescent="0.25">
      <c r="C14" s="10" t="s">
        <v>115</v>
      </c>
    </row>
    <row r="15" spans="3:3" x14ac:dyDescent="0.25">
      <c r="C15" s="10" t="s">
        <v>19</v>
      </c>
    </row>
    <row r="18" spans="3:4" x14ac:dyDescent="0.25">
      <c r="C18" s="12" t="s">
        <v>362</v>
      </c>
    </row>
    <row r="19" spans="3:4" x14ac:dyDescent="0.25">
      <c r="C19" s="14" t="s">
        <v>363</v>
      </c>
    </row>
    <row r="20" spans="3:4" ht="15" x14ac:dyDescent="0.25">
      <c r="C20" s="79" t="s">
        <v>194</v>
      </c>
    </row>
    <row r="21" spans="3:4" x14ac:dyDescent="0.25">
      <c r="C21" s="10" t="s">
        <v>115</v>
      </c>
    </row>
    <row r="22" spans="3:4" ht="15" x14ac:dyDescent="0.25">
      <c r="C22" s="79" t="s">
        <v>182</v>
      </c>
    </row>
    <row r="23" spans="3:4" x14ac:dyDescent="0.25">
      <c r="C23" s="10" t="s">
        <v>19</v>
      </c>
    </row>
    <row r="27" spans="3:4" x14ac:dyDescent="0.25">
      <c r="C27" s="185" t="s">
        <v>4</v>
      </c>
      <c r="D27" s="186" t="s">
        <v>484</v>
      </c>
    </row>
    <row r="28" spans="3:4" ht="28.5" x14ac:dyDescent="0.25">
      <c r="C28" s="187" t="s">
        <v>60</v>
      </c>
      <c r="D28" s="204" t="s">
        <v>485</v>
      </c>
    </row>
    <row r="29" spans="3:4" ht="28.5" x14ac:dyDescent="0.25">
      <c r="C29" s="198" t="s">
        <v>486</v>
      </c>
      <c r="D29" s="204" t="s">
        <v>487</v>
      </c>
    </row>
    <row r="30" spans="3:4" ht="42.75" x14ac:dyDescent="0.25">
      <c r="C30" s="198" t="s">
        <v>47</v>
      </c>
      <c r="D30" s="204" t="s">
        <v>488</v>
      </c>
    </row>
    <row r="31" spans="3:4" ht="28.5" x14ac:dyDescent="0.25">
      <c r="C31" s="198" t="s">
        <v>44</v>
      </c>
      <c r="D31" s="204" t="s">
        <v>489</v>
      </c>
    </row>
    <row r="32" spans="3:4" ht="28.5" x14ac:dyDescent="0.25">
      <c r="C32" s="198" t="s">
        <v>490</v>
      </c>
      <c r="D32" s="204" t="s">
        <v>491</v>
      </c>
    </row>
    <row r="33" spans="3:4" ht="28.5" x14ac:dyDescent="0.25">
      <c r="C33" s="198" t="s">
        <v>49</v>
      </c>
      <c r="D33" s="204" t="s">
        <v>492</v>
      </c>
    </row>
    <row r="34" spans="3:4" ht="28.5" x14ac:dyDescent="0.25">
      <c r="C34" s="198" t="s">
        <v>52</v>
      </c>
      <c r="D34" s="204" t="s">
        <v>493</v>
      </c>
    </row>
    <row r="35" spans="3:4" ht="28.5" x14ac:dyDescent="0.25">
      <c r="C35" s="198" t="s">
        <v>50</v>
      </c>
      <c r="D35" s="204" t="s">
        <v>494</v>
      </c>
    </row>
    <row r="36" spans="3:4" ht="28.5" x14ac:dyDescent="0.25">
      <c r="C36" s="198" t="s">
        <v>51</v>
      </c>
      <c r="D36" s="204" t="s">
        <v>495</v>
      </c>
    </row>
    <row r="37" spans="3:4" ht="28.5" x14ac:dyDescent="0.25">
      <c r="C37" s="198" t="s">
        <v>45</v>
      </c>
      <c r="D37" s="204" t="s">
        <v>496</v>
      </c>
    </row>
    <row r="38" spans="3:4" ht="28.5" x14ac:dyDescent="0.25">
      <c r="C38" s="199" t="s">
        <v>53</v>
      </c>
      <c r="D38" s="205" t="s">
        <v>497</v>
      </c>
    </row>
    <row r="40" spans="3:4" ht="39.75" customHeight="1" x14ac:dyDescent="0.25">
      <c r="C40" s="174"/>
      <c r="D40" s="174"/>
    </row>
    <row r="42" spans="3:4" ht="15" x14ac:dyDescent="0.25">
      <c r="C42" s="178" t="s">
        <v>483</v>
      </c>
    </row>
    <row r="43" spans="3:4" x14ac:dyDescent="0.25">
      <c r="C43" s="200" t="s">
        <v>34</v>
      </c>
      <c r="D43" s="201" t="s">
        <v>498</v>
      </c>
    </row>
    <row r="44" spans="3:4" ht="28.5" x14ac:dyDescent="0.25">
      <c r="C44" s="187" t="s">
        <v>57</v>
      </c>
      <c r="D44" s="202" t="s">
        <v>499</v>
      </c>
    </row>
    <row r="45" spans="3:4" ht="28.5" x14ac:dyDescent="0.25">
      <c r="C45" s="198" t="s">
        <v>56</v>
      </c>
      <c r="D45" s="202" t="s">
        <v>500</v>
      </c>
    </row>
    <row r="46" spans="3:4" ht="28.5" x14ac:dyDescent="0.25">
      <c r="C46" s="198" t="s">
        <v>55</v>
      </c>
      <c r="D46" s="202" t="s">
        <v>501</v>
      </c>
    </row>
    <row r="47" spans="3:4" ht="28.5" x14ac:dyDescent="0.25">
      <c r="C47" s="198" t="s">
        <v>502</v>
      </c>
      <c r="D47" s="202" t="s">
        <v>503</v>
      </c>
    </row>
    <row r="48" spans="3:4" x14ac:dyDescent="0.25">
      <c r="C48" s="198" t="s">
        <v>58</v>
      </c>
      <c r="D48" s="202" t="s">
        <v>504</v>
      </c>
    </row>
    <row r="49" spans="3:4" ht="28.5" x14ac:dyDescent="0.25">
      <c r="C49" s="198" t="s">
        <v>54</v>
      </c>
      <c r="D49" s="202" t="s">
        <v>505</v>
      </c>
    </row>
    <row r="50" spans="3:4" ht="28.5" x14ac:dyDescent="0.25">
      <c r="C50" s="199" t="s">
        <v>506</v>
      </c>
      <c r="D50" s="203" t="s">
        <v>507</v>
      </c>
    </row>
  </sheetData>
  <sortState xmlns:xlrd2="http://schemas.microsoft.com/office/spreadsheetml/2017/richdata2" ref="C44:C50">
    <sortCondition ref="C44:C50"/>
  </sortState>
  <mergeCells count="1">
    <mergeCell ref="C40:D40"/>
  </mergeCells>
  <phoneticPr fontId="22" type="noConversion"/>
  <pageMargins left="0.7" right="0.7" top="0.75" bottom="0.75" header="0.3" footer="0.3"/>
  <pageSetup paperSize="9" orientation="portrait" horizontalDpi="0" verticalDpi="0"/>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Props1.xml><?xml version="1.0" encoding="utf-8"?>
<ds:datastoreItem xmlns:ds="http://schemas.openxmlformats.org/officeDocument/2006/customXml" ds:itemID="{7965482F-04FB-41E8-A929-861DB0D7E539}">
  <ds:schemaRefs/>
</ds:datastoreItem>
</file>

<file path=customXml/itemProps2.xml><?xml version="1.0" encoding="utf-8"?>
<ds:datastoreItem xmlns:ds="http://schemas.openxmlformats.org/officeDocument/2006/customXml" ds:itemID="{53495C9A-BE17-4CC6-A51E-DAB72560E273}">
  <ds:schemaRefs/>
</ds:datastoreItem>
</file>

<file path=customXml/itemProps3.xml><?xml version="1.0" encoding="utf-8"?>
<ds:datastoreItem xmlns:ds="http://schemas.openxmlformats.org/officeDocument/2006/customXml" ds:itemID="{05C87705-9867-479B-8F12-E325B4CD01A8}">
  <ds:schemaRefs/>
</ds:datastoreItem>
</file>

<file path=customXml/itemProps4.xml><?xml version="1.0" encoding="utf-8"?>
<ds:datastoreItem xmlns:ds="http://schemas.openxmlformats.org/officeDocument/2006/customXml" ds:itemID="{AB31964D-9378-427C-AE7A-40E10176368E}">
  <ds:schemaRefs>
    <ds:schemaRef ds:uri="http://schemas.microsoft.com/DataMashup"/>
  </ds:schemaRefs>
</ds:datastoreItem>
</file>

<file path=customXml/itemProps5.xml><?xml version="1.0" encoding="utf-8"?>
<ds:datastoreItem xmlns:ds="http://schemas.openxmlformats.org/officeDocument/2006/customXml" ds:itemID="{04FD2643-3521-4166-B2B2-5567BE61C0A9}">
  <ds:schemaRefs/>
</ds:datastoreItem>
</file>

<file path=customXml/itemProps6.xml><?xml version="1.0" encoding="utf-8"?>
<ds:datastoreItem xmlns:ds="http://schemas.openxmlformats.org/officeDocument/2006/customXml" ds:itemID="{955EEE1E-85BF-42C7-9554-29F2BBEC77EE}">
  <ds:schemaRefs/>
</ds:datastoreItem>
</file>

<file path=customXml/itemProps7.xml><?xml version="1.0" encoding="utf-8"?>
<ds:datastoreItem xmlns:ds="http://schemas.openxmlformats.org/officeDocument/2006/customXml" ds:itemID="{0483F41F-77DD-431A-BB3F-1D643256E826}">
  <ds:schemaRefs/>
</ds:datastoreItem>
</file>

<file path=customXml/itemProps8.xml><?xml version="1.0" encoding="utf-8"?>
<ds:datastoreItem xmlns:ds="http://schemas.openxmlformats.org/officeDocument/2006/customXml" ds:itemID="{92CE7B0B-7A4F-4489-87B7-DD0279EA3520}">
  <ds:schemaRefs/>
</ds:datastoreItem>
</file>

<file path=customXml/itemProps9.xml><?xml version="1.0" encoding="utf-8"?>
<ds:datastoreItem xmlns:ds="http://schemas.openxmlformats.org/officeDocument/2006/customXml" ds:itemID="{4380DE81-CEC8-4BB1-A53F-65454403F347}">
  <ds:schemaRefs/>
</ds:datastoreItem>
</file>

<file path=customXml/itemProps10.xml><?xml version="1.0" encoding="utf-8"?>
<ds:datastoreItem xmlns:ds="http://schemas.openxmlformats.org/officeDocument/2006/customXml" ds:itemID="{D3E64365-B583-4B08-8144-F6DA392804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Information</vt:lpstr>
      <vt:lpstr>Dashboard</vt:lpstr>
      <vt:lpstr>Heatmap</vt:lpstr>
      <vt:lpstr>Gantt chart</vt:lpstr>
      <vt:lpstr>Risk Register</vt:lpstr>
      <vt:lpstr>Tasks</vt:lpstr>
      <vt:lpstr>RiskPivots</vt:lpstr>
      <vt:lpstr>RiskTimeline</vt:lpstr>
      <vt:lpstr>Rating factors</vt:lpstr>
      <vt:lpstr>Dropdowns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Risk Register for Information Security</dc:title>
  <dc:subject/>
  <dc:creator>allaboutgrc.com</dc:creator>
  <cp:keywords>Template; Risk Assessment</cp:keywords>
  <dc:description/>
  <cp:lastModifiedBy>Akinola Ayetigbo</cp:lastModifiedBy>
  <cp:lastPrinted>2024-12-08T21:36:07Z</cp:lastPrinted>
  <dcterms:created xsi:type="dcterms:W3CDTF">2015-06-05T18:19:34Z</dcterms:created>
  <dcterms:modified xsi:type="dcterms:W3CDTF">2026-02-17T19:53:17Z</dcterms:modified>
  <cp:category>Template</cp:category>
</cp:coreProperties>
</file>