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kinola\Downloads\"/>
    </mc:Choice>
  </mc:AlternateContent>
  <xr:revisionPtr revIDLastSave="0" documentId="13_ncr:1_{FDFF5796-ACC6-4411-B4D6-0E774FB336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isk Register" sheetId="7" r:id="rId1"/>
    <sheet name="Drop Down" sheetId="4" r:id="rId2"/>
  </sheets>
  <definedNames>
    <definedName name="_xlnm.Print_Area" localSheetId="1">'Drop Down'!#REF!</definedName>
    <definedName name="_xlnm.Print_Area" localSheetId="0">'Risk Register'!$B$2:$S$35</definedName>
    <definedName name="REASSESSMENT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7" l="1" a="1"/>
  <c r="K11" i="7" s="1"/>
  <c r="K12" i="7" a="1"/>
  <c r="K12" i="7" s="1"/>
  <c r="K13" i="7" a="1"/>
  <c r="K13" i="7" s="1"/>
  <c r="K14" i="7" a="1"/>
  <c r="K14" i="7"/>
  <c r="K15" i="7" a="1"/>
  <c r="K15" i="7"/>
  <c r="K16" i="7" a="1"/>
  <c r="K16" i="7"/>
  <c r="K17" i="7" a="1"/>
  <c r="K17" i="7"/>
  <c r="K18" i="7" a="1"/>
  <c r="K18" i="7"/>
  <c r="K19" i="7" a="1"/>
  <c r="K19" i="7"/>
  <c r="K20" i="7" a="1"/>
  <c r="K20" i="7"/>
  <c r="K21" i="7" a="1"/>
  <c r="K21" i="7"/>
  <c r="K22" i="7" a="1"/>
  <c r="K22" i="7"/>
  <c r="K23" i="7" a="1"/>
  <c r="K23" i="7"/>
  <c r="K24" i="7" a="1"/>
  <c r="K24" i="7"/>
  <c r="K25" i="7" a="1"/>
  <c r="K25" i="7"/>
  <c r="K26" i="7" a="1"/>
  <c r="K26" i="7"/>
  <c r="K27" i="7" a="1"/>
  <c r="K27" i="7"/>
  <c r="K28" i="7" a="1"/>
  <c r="K28" i="7"/>
  <c r="K29" i="7" a="1"/>
  <c r="K29" i="7"/>
  <c r="K30" i="7" a="1"/>
  <c r="K30" i="7" s="1"/>
  <c r="K31" i="7" a="1"/>
  <c r="K31" i="7"/>
  <c r="K32" i="7" a="1"/>
  <c r="K32" i="7"/>
  <c r="K33" i="7" a="1"/>
  <c r="K33" i="7"/>
  <c r="K34" i="7" a="1"/>
  <c r="K34" i="7"/>
  <c r="K35" i="7" a="1"/>
  <c r="K35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1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<sst xmlns="http://schemas.openxmlformats.org/spreadsheetml/2006/main" count="377" uniqueCount="251">
  <si>
    <t>Status</t>
  </si>
  <si>
    <t>Closed</t>
  </si>
  <si>
    <t>Risk Category</t>
  </si>
  <si>
    <t>Risk Owner</t>
  </si>
  <si>
    <t>Date Identified</t>
  </si>
  <si>
    <t>Accept</t>
  </si>
  <si>
    <t>Mitigate</t>
  </si>
  <si>
    <t>Transfer</t>
  </si>
  <si>
    <t>Avoid</t>
  </si>
  <si>
    <t>Negligible</t>
  </si>
  <si>
    <t>Rare</t>
  </si>
  <si>
    <t>Low</t>
  </si>
  <si>
    <t>Minor</t>
  </si>
  <si>
    <t>Unlikely</t>
  </si>
  <si>
    <t>Moderate</t>
  </si>
  <si>
    <t>Possible</t>
  </si>
  <si>
    <t>High</t>
  </si>
  <si>
    <t>Major</t>
  </si>
  <si>
    <t>Likely</t>
  </si>
  <si>
    <t>Extreme</t>
  </si>
  <si>
    <t>Critical</t>
  </si>
  <si>
    <t>Almost Certain</t>
  </si>
  <si>
    <t>Impact Level</t>
  </si>
  <si>
    <t>Numeric Value</t>
  </si>
  <si>
    <t>Likelihood Level</t>
  </si>
  <si>
    <t>Risk Rating</t>
  </si>
  <si>
    <t>Numeric Range 
(Impact x Likelihood)</t>
  </si>
  <si>
    <t>1 to 5</t>
  </si>
  <si>
    <t>6 to 10</t>
  </si>
  <si>
    <t>11 to 15</t>
  </si>
  <si>
    <t>16 to 25</t>
  </si>
  <si>
    <t>Ref ID</t>
  </si>
  <si>
    <t>Risk Title</t>
  </si>
  <si>
    <t>Risk Description</t>
  </si>
  <si>
    <t>Asset Affected</t>
  </si>
  <si>
    <t>Threat Source</t>
  </si>
  <si>
    <t>Vulnerability</t>
  </si>
  <si>
    <t>Security Domain</t>
  </si>
  <si>
    <t>Risk Response Strategy</t>
  </si>
  <si>
    <t>Mitigation Notes</t>
  </si>
  <si>
    <t>Next Review Date</t>
  </si>
  <si>
    <t>Data Breach</t>
  </si>
  <si>
    <t>Insider Threat</t>
  </si>
  <si>
    <t>Phishing / Social Engineering</t>
  </si>
  <si>
    <t>Malware / Ransomware</t>
  </si>
  <si>
    <t>Third-Party Risk</t>
  </si>
  <si>
    <t>Access Control Failure</t>
  </si>
  <si>
    <t>System Misconfiguration</t>
  </si>
  <si>
    <t>Regulatory Compliance</t>
  </si>
  <si>
    <t>Denial of Service</t>
  </si>
  <si>
    <t>Network</t>
  </si>
  <si>
    <t>Application</t>
  </si>
  <si>
    <t>Endpoint</t>
  </si>
  <si>
    <t>Identity and Access Control</t>
  </si>
  <si>
    <t>Data Protection</t>
  </si>
  <si>
    <t>Physical Security</t>
  </si>
  <si>
    <t>Cloud / SaaS</t>
  </si>
  <si>
    <t>Policy / Governance</t>
  </si>
  <si>
    <t>Monitor</t>
  </si>
  <si>
    <t>Escalate</t>
  </si>
  <si>
    <t>Open</t>
  </si>
  <si>
    <t>In Review</t>
  </si>
  <si>
    <t>Mitigated</t>
  </si>
  <si>
    <t>Accepted</t>
  </si>
  <si>
    <t>Transferred</t>
  </si>
  <si>
    <t>CR001</t>
  </si>
  <si>
    <t>Phishing Email to Staff</t>
  </si>
  <si>
    <t>Attempt to steal login credentials</t>
  </si>
  <si>
    <t>Email Server</t>
  </si>
  <si>
    <t>External actor</t>
  </si>
  <si>
    <t>No phishing training</t>
  </si>
  <si>
    <t>CR002</t>
  </si>
  <si>
    <t>Ransomware on Shared Drive</t>
  </si>
  <si>
    <t>Encrypted files via a malicious attachment</t>
  </si>
  <si>
    <t>Shared File System</t>
  </si>
  <si>
    <t>Malware campaign</t>
  </si>
  <si>
    <t>Outdated endpoint protection</t>
  </si>
  <si>
    <t>CR003</t>
  </si>
  <si>
    <t>Privilege Escalation Flaw</t>
  </si>
  <si>
    <t>Unpatched kernel vulnerability</t>
  </si>
  <si>
    <t>Linux Servers</t>
  </si>
  <si>
    <t>Internal developer</t>
  </si>
  <si>
    <t>Missing OS patch</t>
  </si>
  <si>
    <t>CR004</t>
  </si>
  <si>
    <t>Stolen Contractor Credentials</t>
  </si>
  <si>
    <t>Breach via compromised login</t>
  </si>
  <si>
    <t>VPN Gateway</t>
  </si>
  <si>
    <t>Third‑party vendor</t>
  </si>
  <si>
    <t>Weak MFA</t>
  </si>
  <si>
    <t>CR005</t>
  </si>
  <si>
    <t>Open S3 Bucket Exposed</t>
  </si>
  <si>
    <t>Sensitive data is publicly accessible</t>
  </si>
  <si>
    <t>Cloud Storage</t>
  </si>
  <si>
    <t>Misconfigured permissions</t>
  </si>
  <si>
    <t>CR006</t>
  </si>
  <si>
    <t>Rogue Wi-Fi on Job Site</t>
  </si>
  <si>
    <t>Unauthorized access point detected</t>
  </si>
  <si>
    <t>Corporate Wi-Fi</t>
  </si>
  <si>
    <t>Insider threat</t>
  </si>
  <si>
    <t>Weak access point monitoring</t>
  </si>
  <si>
    <t>CR007</t>
  </si>
  <si>
    <t>Email Spoofing Attempt</t>
  </si>
  <si>
    <t>An executive fake email requesting a wire transfer</t>
  </si>
  <si>
    <t>Mail Server</t>
  </si>
  <si>
    <t>External phishing</t>
  </si>
  <si>
    <t>No SPF / DKIM enforcement</t>
  </si>
  <si>
    <t>CR008</t>
  </si>
  <si>
    <t>Insecure Vendor API</t>
  </si>
  <si>
    <t>API exposed without authentication</t>
  </si>
  <si>
    <t>Customer Portal</t>
  </si>
  <si>
    <t>No API gateway</t>
  </si>
  <si>
    <t>CR009</t>
  </si>
  <si>
    <t>Outdated TLS Version</t>
  </si>
  <si>
    <t>Weak encryption on the external website</t>
  </si>
  <si>
    <t>Public Website</t>
  </si>
  <si>
    <t>Configuration error</t>
  </si>
  <si>
    <t>TLS 1.0 is still active</t>
  </si>
  <si>
    <t>CR010</t>
  </si>
  <si>
    <t>Lateral Movement Detected</t>
  </si>
  <si>
    <t>Suspicious internal traffic</t>
  </si>
  <si>
    <t>Corporate Network</t>
  </si>
  <si>
    <t>Compromised endpoint</t>
  </si>
  <si>
    <t>No internal segmentation</t>
  </si>
  <si>
    <t>CR011</t>
  </si>
  <si>
    <t>Unlocked Server Cabinet</t>
  </si>
  <si>
    <t>Unauthorized physical access</t>
  </si>
  <si>
    <t>Server Room</t>
  </si>
  <si>
    <t>Cabinet not locked</t>
  </si>
  <si>
    <t>CR012</t>
  </si>
  <si>
    <t>Orphaned Admin Account</t>
  </si>
  <si>
    <t>Old account remains active</t>
  </si>
  <si>
    <t>Active Directory</t>
  </si>
  <si>
    <t>Internal oversight</t>
  </si>
  <si>
    <t>No deprovisioning workflow</t>
  </si>
  <si>
    <t>CR013</t>
  </si>
  <si>
    <t>Shadow IT Cloud Storage</t>
  </si>
  <si>
    <t>Use of unapproved cloud apps</t>
  </si>
  <si>
    <t>Employee Devices</t>
  </si>
  <si>
    <t>Staff behavior</t>
  </si>
  <si>
    <t>No cloud usage policy</t>
  </si>
  <si>
    <t>CR014</t>
  </si>
  <si>
    <t>DDoS Threat to Site</t>
  </si>
  <si>
    <t>Traffic spike from unknown IPs</t>
  </si>
  <si>
    <t>Web Application</t>
  </si>
  <si>
    <t>External attacker</t>
  </si>
  <si>
    <t>No WAF / rate limiting</t>
  </si>
  <si>
    <t>CR015</t>
  </si>
  <si>
    <t>Weak Password Reuse</t>
  </si>
  <si>
    <t>Staff reuse personal passwords</t>
  </si>
  <si>
    <t>Enterprise Accounts</t>
  </si>
  <si>
    <t>Human error</t>
  </si>
  <si>
    <t>No password policy training</t>
  </si>
  <si>
    <t>CR016</t>
  </si>
  <si>
    <t>Firewall Misconfiguration</t>
  </si>
  <si>
    <t>Ports left open after testing</t>
  </si>
  <si>
    <t>DMZ Firewall</t>
  </si>
  <si>
    <t>Testing protocols not followed</t>
  </si>
  <si>
    <t>CR017</t>
  </si>
  <si>
    <t>Social Media Account Hijack</t>
  </si>
  <si>
    <t>Brand account compromised</t>
  </si>
  <si>
    <t>Marketing Accounts</t>
  </si>
  <si>
    <t>Credential theft</t>
  </si>
  <si>
    <t>Shared login, no MFA</t>
  </si>
  <si>
    <t>CR018</t>
  </si>
  <si>
    <t>Expired Certificate Warning</t>
  </si>
  <si>
    <t>SSL cert not renewed on time</t>
  </si>
  <si>
    <t>Intranet</t>
  </si>
  <si>
    <t>Internal process</t>
  </si>
  <si>
    <t>Manual tracking only</t>
  </si>
  <si>
    <t>CR019</t>
  </si>
  <si>
    <t>Credential Stuffing Attempts</t>
  </si>
  <si>
    <t>Repeated login attempts</t>
  </si>
  <si>
    <t>Public Login Portal</t>
  </si>
  <si>
    <t>External botnet</t>
  </si>
  <si>
    <t>No brute-force detection</t>
  </si>
  <si>
    <t>CR020</t>
  </si>
  <si>
    <t>No Backups for SaaS App</t>
  </si>
  <si>
    <t>Client data at risk in an outage</t>
  </si>
  <si>
    <t>SaaS CRM</t>
  </si>
  <si>
    <t>Oversight</t>
  </si>
  <si>
    <t>No backup integration</t>
  </si>
  <si>
    <t>CR021</t>
  </si>
  <si>
    <t>Remote Desktop Brute Force</t>
  </si>
  <si>
    <t>Unauthorized login attempts</t>
  </si>
  <si>
    <t>Remote Access System</t>
  </si>
  <si>
    <t>External attempt</t>
  </si>
  <si>
    <t>Weak RDP configs</t>
  </si>
  <si>
    <t>CR022</t>
  </si>
  <si>
    <t>Staff Clicking Test Phish</t>
  </si>
  <si>
    <t>Simulation failed for the staff</t>
  </si>
  <si>
    <t>Staff Mailboxes</t>
  </si>
  <si>
    <t>Internal testing</t>
  </si>
  <si>
    <t>Low awareness</t>
  </si>
  <si>
    <t>CR023</t>
  </si>
  <si>
    <t>Legacy System Unpatched</t>
  </si>
  <si>
    <t>Unsupported OS still in use</t>
  </si>
  <si>
    <t>Internal App Server</t>
  </si>
  <si>
    <t>Internal neglect</t>
  </si>
  <si>
    <t>No vendor support</t>
  </si>
  <si>
    <t>CR024</t>
  </si>
  <si>
    <t>Passwords Shared via Email</t>
  </si>
  <si>
    <t>Staff emailing credentials</t>
  </si>
  <si>
    <t>Internal Email System</t>
  </si>
  <si>
    <t>No secure credential sharing tool</t>
  </si>
  <si>
    <t>CR025</t>
  </si>
  <si>
    <t>Unauthorized USB Use</t>
  </si>
  <si>
    <t>USB plugged into a workstation</t>
  </si>
  <si>
    <t>End-User Device</t>
  </si>
  <si>
    <t>Insider behavior</t>
  </si>
  <si>
    <t>No device control policy</t>
  </si>
  <si>
    <t>Romy Bailey</t>
  </si>
  <si>
    <t>Brooklyn Jansen</t>
  </si>
  <si>
    <t>Add a phishing simulation program</t>
  </si>
  <si>
    <t>Evaluate the cyber insurance policy</t>
  </si>
  <si>
    <t>Apply kernel patches via automation</t>
  </si>
  <si>
    <t>Require hardware MFA tokens</t>
  </si>
  <si>
    <t>Enable encryption and bucket policies</t>
  </si>
  <si>
    <t>Monitor with wireless IDS</t>
  </si>
  <si>
    <t>Enforce DMARC policy</t>
  </si>
  <si>
    <t>Add an API gateway and risk-sharing clause</t>
  </si>
  <si>
    <t>Enforce TLS 1.2 or higher</t>
  </si>
  <si>
    <t>Implement internal firewalls</t>
  </si>
  <si>
    <t>Include in physical audits</t>
  </si>
  <si>
    <t>Add automated account review</t>
  </si>
  <si>
    <t>Block unapproved SaaS domains</t>
  </si>
  <si>
    <t>Add DDoS protection service</t>
  </si>
  <si>
    <t>Launch password training</t>
  </si>
  <si>
    <t>Enforce firewall rule reviews</t>
  </si>
  <si>
    <t>Use an enterprise social media manager</t>
  </si>
  <si>
    <t>Automate cert expiration alerts</t>
  </si>
  <si>
    <t>Enable lockouts, MFA</t>
  </si>
  <si>
    <t>Add a daily backup clause</t>
  </si>
  <si>
    <t>Restrict external RDP</t>
  </si>
  <si>
    <t>Retest high-risk groups quarterly</t>
  </si>
  <si>
    <t>Plan a decommission strategy</t>
  </si>
  <si>
    <t>Deploy a secure password manager</t>
  </si>
  <si>
    <t>Include in annual policy refresher</t>
  </si>
  <si>
    <t>Mitigation In Progress</t>
  </si>
  <si>
    <t>Internal misconfiguration</t>
  </si>
  <si>
    <t>Numeric Value2</t>
  </si>
  <si>
    <t>Rendle bent</t>
  </si>
  <si>
    <t>Shane Jayne</t>
  </si>
  <si>
    <t>Mo Abdulz</t>
  </si>
  <si>
    <t>Thomas Brandt</t>
  </si>
  <si>
    <t>David V</t>
  </si>
  <si>
    <t>Tony Ajayi</t>
  </si>
  <si>
    <t>Lami Seed</t>
  </si>
  <si>
    <t>Brittney Benton</t>
  </si>
  <si>
    <t>Lisa Perez</t>
  </si>
  <si>
    <t>Risk Level</t>
  </si>
  <si>
    <t>Cyber Risk Register - Healthcare (Hospital Patient Record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</si>
</sst>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1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6"/>
      <color theme="1"/>
      <name val="Calibri"/>
      <family val="2"/>
      <scheme val="minor"/>
    </font>
    <font>
      <sz val="10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ck">
        <color theme="0" tint="-0.249977111117893"/>
      </bottom>
      <diagonal/>
    </border>
    <border>
      <left style="thin">
        <color theme="0" tint="-0.249977111117893"/>
      </left>
      <right/>
      <top/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/>
      <right/>
      <top style="thick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" fontId="7" fillId="2" borderId="0" xfId="0" applyNumberFormat="1" applyFont="1" applyFill="1" applyAlignment="1">
      <alignment horizontal="center" vertical="center" wrapText="1"/>
    </xf>
    <xf numFmtId="0" fontId="9" fillId="0" borderId="0" xfId="0" applyFont="1"/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6" fontId="8" fillId="0" borderId="6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left" vertical="center" wrapText="1" inden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indent="1"/>
    </xf>
    <xf numFmtId="164" fontId="5" fillId="0" borderId="2" xfId="0" applyNumberFormat="1" applyFont="1" applyFill="1" applyBorder="1" applyAlignment="1">
      <alignment horizontal="center" vertical="center" wrapText="1"/>
    </xf>
    <xf numFmtId="164" fontId="5" fillId="0" borderId="15" xfId="0" applyNumberFormat="1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20" xfId="0" applyFont="1" applyFill="1" applyBorder="1" applyAlignment="1">
      <alignment horizontal="left" vertical="center" wrapText="1" indent="1"/>
    </xf>
    <xf numFmtId="0" fontId="4" fillId="0" borderId="20" xfId="0" applyFont="1" applyFill="1" applyBorder="1" applyAlignment="1">
      <alignment horizontal="left" vertical="center" indent="1"/>
    </xf>
    <xf numFmtId="164" fontId="5" fillId="0" borderId="20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left" vertical="center" wrapText="1" indent="1"/>
    </xf>
    <xf numFmtId="0" fontId="4" fillId="0" borderId="23" xfId="0" applyFont="1" applyFill="1" applyBorder="1" applyAlignment="1">
      <alignment horizontal="left" vertical="center" indent="1"/>
    </xf>
    <xf numFmtId="0" fontId="4" fillId="0" borderId="24" xfId="0" applyFont="1" applyFill="1" applyBorder="1" applyAlignment="1">
      <alignment horizontal="left" vertical="center" indent="1"/>
    </xf>
    <xf numFmtId="0" fontId="4" fillId="0" borderId="22" xfId="0" applyFont="1" applyFill="1" applyBorder="1" applyAlignment="1">
      <alignment horizontal="left" vertical="center" indent="1"/>
    </xf>
    <xf numFmtId="0" fontId="10" fillId="0" borderId="23" xfId="0" applyFont="1" applyFill="1" applyBorder="1" applyAlignment="1">
      <alignment horizontal="left" vertical="center" wrapText="1" indent="1"/>
    </xf>
    <xf numFmtId="0" fontId="10" fillId="0" borderId="24" xfId="0" applyFont="1" applyFill="1" applyBorder="1" applyAlignment="1">
      <alignment horizontal="left" vertical="center" wrapText="1" indent="1"/>
    </xf>
    <xf numFmtId="0" fontId="10" fillId="0" borderId="22" xfId="0" applyFont="1" applyFill="1" applyBorder="1" applyAlignment="1">
      <alignment horizontal="left" vertical="center" wrapText="1" indent="1"/>
    </xf>
    <xf numFmtId="0" fontId="5" fillId="0" borderId="23" xfId="0" applyFont="1" applyFill="1" applyBorder="1" applyAlignment="1">
      <alignment horizontal="left" vertical="center" wrapText="1" indent="1"/>
    </xf>
    <xf numFmtId="0" fontId="4" fillId="0" borderId="24" xfId="0" applyFont="1" applyFill="1" applyBorder="1" applyAlignment="1">
      <alignment horizontal="left" vertical="center" wrapText="1" indent="1"/>
    </xf>
    <xf numFmtId="0" fontId="4" fillId="0" borderId="22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2000000}"/>
  </cellStyles>
  <dxfs count="180"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8"/>
      </font>
    </dxf>
    <dxf>
      <font>
        <b/>
        <i val="0"/>
        <color rgb="FFBEB10E"/>
      </font>
    </dxf>
    <dxf>
      <font>
        <b/>
        <i val="0"/>
        <color rgb="FF7DB0E3"/>
      </font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8"/>
      </font>
    </dxf>
    <dxf>
      <font>
        <b/>
        <i val="0"/>
        <color rgb="FFBEB10E"/>
      </font>
    </dxf>
    <dxf>
      <font>
        <b/>
        <i val="0"/>
        <color rgb="FF7DB0E3"/>
      </font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  <vertical/>
        <horizontal/>
      </border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6" tint="-0.24994659260841701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8"/>
      </font>
    </dxf>
    <dxf>
      <font>
        <b/>
        <i val="0"/>
        <color rgb="FFBEB10E"/>
      </font>
    </dxf>
    <dxf>
      <font>
        <b/>
        <i val="0"/>
        <color rgb="FF7DB0E3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bottom style="thick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border outline="0">
        <bottom style="thick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border outline="0">
        <bottom style="thick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4" formatCode="mm/dd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4" formatCode="mm/dd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bottom style="thick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</border>
    </dxf>
  </dxfs>
  <tableStyles count="0" defaultTableStyle="TableStyleMedium9" defaultPivotStyle="PivotStyleMedium4"/>
  <colors>
    <mruColors>
      <color rgb="FFFFFFCC"/>
      <color rgb="FFEFE12D"/>
      <color rgb="FF7DB0E3"/>
      <color rgb="FFBEB10E"/>
      <color rgb="FFCCFFFF"/>
      <color rgb="FFAEE67C"/>
      <color rgb="FFF5F7FA"/>
      <color rgb="FFE5E5E5"/>
      <color rgb="FFEBEBEB"/>
      <color rgb="FFBCE6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9</xdr:col>
      <xdr:colOff>230505</xdr:colOff>
      <xdr:row>0</xdr:row>
      <xdr:rowOff>1265464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88B4F12-E176-4008-AF40-316679398B94}"/>
            </a:ext>
          </a:extLst>
        </xdr:cNvPr>
        <xdr:cNvGrpSpPr>
          <a:grpSpLocks/>
        </xdr:cNvGrpSpPr>
      </xdr:nvGrpSpPr>
      <xdr:grpSpPr>
        <a:xfrm>
          <a:off x="273326" y="0"/>
          <a:ext cx="12952592" cy="1265464"/>
          <a:chOff x="13607" y="0"/>
          <a:chExt cx="12984480" cy="1265464"/>
        </a:xfrm>
        <a:solidFill>
          <a:schemeClr val="accent2">
            <a:lumMod val="50000"/>
          </a:schemeClr>
        </a:solidFill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FA10BE93-2B53-31F4-391A-4C61FD2FA2D0}"/>
              </a:ext>
            </a:extLst>
          </xdr:cNvPr>
          <xdr:cNvSpPr/>
        </xdr:nvSpPr>
        <xdr:spPr>
          <a:xfrm>
            <a:off x="13607" y="0"/>
            <a:ext cx="12984480" cy="1265464"/>
          </a:xfrm>
          <a:prstGeom prst="rect">
            <a:avLst/>
          </a:prstGeom>
          <a:grpFill/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ABB3FE8-1054-0335-168B-A4200F799B76}"/>
              </a:ext>
            </a:extLst>
          </xdr:cNvPr>
          <xdr:cNvSpPr/>
        </xdr:nvSpPr>
        <xdr:spPr>
          <a:xfrm>
            <a:off x="1302318" y="184849"/>
            <a:ext cx="8610500" cy="94129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3600" b="1">
                <a:solidFill>
                  <a:sysClr val="windowText" lastClr="000000"/>
                </a:solidFill>
                <a:effectLst/>
                <a:latin typeface="Rockwell Nova" panose="020F0502020204030204" pitchFamily="18" charset="0"/>
                <a:ea typeface="+mn-ea"/>
                <a:cs typeface="Segoe UI" panose="020B0502040204020203" pitchFamily="34" charset="0"/>
              </a:rPr>
              <a:t>Risk Rigester Dashboard</a:t>
            </a:r>
            <a:endParaRPr lang="en-US" sz="3600" b="1">
              <a:solidFill>
                <a:sysClr val="windowText" lastClr="000000"/>
              </a:solidFill>
              <a:effectLst/>
              <a:latin typeface="Rockwell Nova" panose="020F0502020204030204" pitchFamily="18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CE3FAA03-D514-8C14-6BED-DEA70E5823CA}"/>
              </a:ext>
            </a:extLst>
          </xdr:cNvPr>
          <xdr:cNvSpPr/>
        </xdr:nvSpPr>
        <xdr:spPr>
          <a:xfrm>
            <a:off x="10256586" y="374068"/>
            <a:ext cx="2639786" cy="503464"/>
          </a:xfrm>
          <a:prstGeom prst="round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 kern="1200">
                <a:latin typeface="Segoe UI" panose="020B0502040204020203" pitchFamily="34" charset="0"/>
                <a:cs typeface="Segoe UI" panose="020B0502040204020203" pitchFamily="34" charset="0"/>
              </a:rPr>
              <a:t>akiratech.ca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E9B9F-37F7-4D30-90BB-E3EBB00F94AC}" name="Table1" displayName="Table1" ref="B3:G8" totalsRowShown="0" headerRowDxfId="170" dataDxfId="169" headerRowBorderDxfId="178" tableBorderDxfId="179" totalsRowBorderDxfId="177">
  <autoFilter ref="B3:G8" xr:uid="{94AE9B9F-37F7-4D30-90BB-E3EBB00F94AC}"/>
  <tableColumns count="6">
    <tableColumn id="1" xr3:uid="{F1FE98EA-4A38-49A7-9EC9-BC14BDC7891E}" name="Impact Level" dataDxfId="176"/>
    <tableColumn id="2" xr3:uid="{89CBDB46-CF39-4346-A13F-1B5D5CAA0E20}" name="Numeric Value" dataDxfId="175"/>
    <tableColumn id="3" xr3:uid="{8E882274-16F2-49C9-8A96-CB2BF1118865}" name="Likelihood Level" dataDxfId="174"/>
    <tableColumn id="4" xr3:uid="{F4FF1D5F-EEC6-45A5-A7FC-B20D0272F0DC}" name="Numeric Value2" dataDxfId="173"/>
    <tableColumn id="5" xr3:uid="{25D566B3-2336-49F6-B16E-A27195B1E9F9}" name="Risk Rating" dataDxfId="172"/>
    <tableColumn id="6" xr3:uid="{5C96F0E4-E45C-4275-85B6-12610BA38153}" name="Numeric Range _x000a_(Impact x Likelihood)" dataDxfId="171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3C7AB6-C86B-46EE-A435-39A8311FD5F0}" name="Table2" displayName="Table2" ref="B10:S35" totalsRowShown="0" headerRowDxfId="151" dataDxfId="150" headerRowBorderDxfId="167" tableBorderDxfId="168">
  <autoFilter ref="B10:S35" xr:uid="{223C7AB6-C86B-46EE-A435-39A8311FD5F0}"/>
  <tableColumns count="18">
    <tableColumn id="1" xr3:uid="{4F35DBFA-5C04-4D87-BF1F-4C8BE243D6EA}" name="Ref ID" dataDxfId="166"/>
    <tableColumn id="2" xr3:uid="{008A0D86-823C-4793-BCD8-182C8891FBA1}" name="Risk Title" dataDxfId="165"/>
    <tableColumn id="3" xr3:uid="{9D06C7CE-4D12-481E-9EE6-E9EC4EFF0BD9}" name="Risk Description" dataDxfId="164"/>
    <tableColumn id="4" xr3:uid="{B881823C-2DCE-458B-8CDA-DCEB2428CDA8}" name="Asset Affected" dataDxfId="163"/>
    <tableColumn id="5" xr3:uid="{2106E831-7409-4630-98A5-141935B0CE4F}" name="Threat Source" dataDxfId="162"/>
    <tableColumn id="6" xr3:uid="{EB3DAD13-5D53-4066-A5CD-3151F7AF1346}" name="Vulnerability" dataDxfId="161"/>
    <tableColumn id="19" xr3:uid="{4247C4F7-F35A-4394-899B-004DC9EDCD24}" name="Impact Level" dataDxfId="129"/>
    <tableColumn id="18" xr3:uid="{4E651D1E-45B0-401F-83DA-C9D688EAC8DB}" name="Likelihood Level" dataDxfId="130"/>
    <tableColumn id="8" xr3:uid="{AC21B160-2334-4D5A-AA17-31B5921FB1B3}" name="Risk Rating" dataDxfId="160">
      <calculatedColumnFormula>Table2[[#This Row],[Impact Level]]*Table2[[#This Row],[Likelihood Level]]</calculatedColumnFormula>
    </tableColumn>
    <tableColumn id="20" xr3:uid="{E55341A9-3628-458A-9C56-84327C438260}" name="Risk Level" dataDxfId="80">
      <calculatedColumnFormula array="1">_xlfn.IFS(
  J11&lt;=5, "Low",
  J11&lt;=10, "Medium",
  J11&lt;=15, "High",
  J11&lt;=25, "Extreme"
)</calculatedColumnFormula>
    </tableColumn>
    <tableColumn id="10" xr3:uid="{5BDD7263-061C-4CD4-9602-6AE94DF45A0C}" name="Risk Category" dataDxfId="159"/>
    <tableColumn id="11" xr3:uid="{928FD31F-6241-4D82-9CF7-C020CC38F5E0}" name="Security Domain" dataDxfId="158"/>
    <tableColumn id="12" xr3:uid="{D6110E92-B34B-49ED-A30D-7DC09B425B7F}" name="Risk Owner" dataDxfId="157"/>
    <tableColumn id="13" xr3:uid="{8F30497A-F7D9-49CB-85C8-B596600316A1}" name="Risk Response Strategy" dataDxfId="156"/>
    <tableColumn id="14" xr3:uid="{36DF26EB-1542-48DC-BB1D-1219B5A7B7AD}" name="Mitigation Notes" dataDxfId="155"/>
    <tableColumn id="15" xr3:uid="{D9728372-5801-447A-933A-713D541270F6}" name="Status" dataDxfId="154"/>
    <tableColumn id="16" xr3:uid="{FECEEFF7-738C-4406-BAC8-FCF7F1B72C5C}" name="Date Identified" dataDxfId="153"/>
    <tableColumn id="17" xr3:uid="{AE988A07-8709-4EA1-87F1-9A0B13694A1C}" name="Next Review Date" dataDxfId="15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7C2288-6E89-4635-A11E-E51E106C9203}" name="Table3" displayName="Table3" ref="H2:H8" totalsRowShown="0" headerRowDxfId="146" dataDxfId="145" headerRowBorderDxfId="148" tableBorderDxfId="149">
  <autoFilter ref="H2:H8" xr:uid="{0C7C2288-6E89-4635-A11E-E51E106C9203}"/>
  <tableColumns count="1">
    <tableColumn id="1" xr3:uid="{2E020BB2-9525-4984-9BAE-9BAED1E83820}" name="Risk Response Strategy" dataDxfId="14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32678E-AF9F-4B06-9CFF-AE184B46AD2D}" name="Table4" displayName="Table4" ref="F2:F10" totalsRowShown="0" headerRowDxfId="141" dataDxfId="140" headerRowBorderDxfId="143" tableBorderDxfId="144">
  <autoFilter ref="F2:F10" xr:uid="{2E32678E-AF9F-4B06-9CFF-AE184B46AD2D}"/>
  <tableColumns count="1">
    <tableColumn id="1" xr3:uid="{56644CED-F1B9-4F0C-89F8-FEB810279D07}" name="Security Domain" dataDxfId="14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6BE123-AF10-407A-8FCA-4B562846E426}" name="Table5" displayName="Table5" ref="B2:B9" totalsRowShown="0" headerRowDxfId="135" dataDxfId="136" headerRowBorderDxfId="138" tableBorderDxfId="139">
  <autoFilter ref="B2:B9" xr:uid="{BE6BE123-AF10-407A-8FCA-4B562846E426}"/>
  <tableColumns count="1">
    <tableColumn id="1" xr3:uid="{AA212517-B765-4717-AFD7-8035DE946C39}" name="Status" dataDxfId="13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53B2C8-5E8E-479B-A5B1-7743C4E37DB6}" name="Table6" displayName="Table6" ref="D2:D11" totalsRowShown="0" headerRowDxfId="131" dataDxfId="132" tableBorderDxfId="134">
  <autoFilter ref="D2:D11" xr:uid="{8D53B2C8-5E8E-479B-A5B1-7743C4E37DB6}"/>
  <tableColumns count="1">
    <tableColumn id="1" xr3:uid="{56618F61-83D9-49A8-BA05-4D917A16E4B4}" name="Risk Category" dataDxfId="13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3C4A-8D8A-46BE-84E4-68DACDDA070A}">
  <sheetPr>
    <tabColor rgb="FFEFE12D"/>
    <pageSetUpPr fitToPage="1"/>
  </sheetPr>
  <dimension ref="B1:S35"/>
  <sheetViews>
    <sheetView showGridLines="0" tabSelected="1" zoomScale="115" zoomScaleNormal="115" workbookViewId="0">
      <pane ySplit="1" topLeftCell="A2" activePane="bottomLeft" state="frozen"/>
      <selection pane="bottomLeft" activeCell="E4" sqref="E4"/>
    </sheetView>
  </sheetViews>
  <sheetFormatPr defaultColWidth="11" defaultRowHeight="15.75" x14ac:dyDescent="0.25"/>
  <cols>
    <col min="1" max="1" width="3.625" customWidth="1"/>
    <col min="2" max="2" width="22.625" customWidth="1"/>
    <col min="3" max="6" width="22.625" style="1" customWidth="1"/>
    <col min="7" max="7" width="22.625" style="3" customWidth="1"/>
    <col min="8" max="9" width="15.625" style="1" customWidth="1"/>
    <col min="10" max="11" width="19.125" style="2" customWidth="1"/>
    <col min="12" max="12" width="19" style="2" customWidth="1"/>
    <col min="13" max="13" width="17.875" style="2" customWidth="1"/>
    <col min="14" max="14" width="20.625" style="2" customWidth="1"/>
    <col min="15" max="15" width="23.875" style="2" customWidth="1"/>
    <col min="16" max="16" width="20.625" style="2" customWidth="1"/>
    <col min="17" max="17" width="15.625" style="2" customWidth="1"/>
    <col min="18" max="18" width="16.375" style="2" customWidth="1"/>
    <col min="19" max="19" width="19.125" style="2" customWidth="1"/>
    <col min="20" max="21" width="3.375" customWidth="1"/>
  </cols>
  <sheetData>
    <row r="1" spans="2:19" ht="120.75" customHeight="1" x14ac:dyDescent="0.35">
      <c r="B1" s="13"/>
    </row>
    <row r="2" spans="2:19" s="4" customFormat="1" ht="42" customHeight="1" x14ac:dyDescent="0.25">
      <c r="B2" s="5" t="s">
        <v>250</v>
      </c>
      <c r="C2" s="5"/>
      <c r="D2" s="5"/>
      <c r="E2" s="5"/>
      <c r="F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s="4" customFormat="1" ht="42" customHeight="1" x14ac:dyDescent="0.25">
      <c r="B3" s="14" t="s">
        <v>22</v>
      </c>
      <c r="C3" s="15" t="s">
        <v>23</v>
      </c>
      <c r="D3" s="15" t="s">
        <v>24</v>
      </c>
      <c r="E3" s="15" t="s">
        <v>239</v>
      </c>
      <c r="F3" s="15" t="s">
        <v>25</v>
      </c>
      <c r="G3" s="16" t="s">
        <v>26</v>
      </c>
      <c r="H3" s="10"/>
      <c r="I3" s="10"/>
      <c r="J3" s="6"/>
      <c r="K3" s="6"/>
      <c r="L3" s="6"/>
      <c r="M3" s="6"/>
      <c r="N3" s="6"/>
      <c r="O3" s="6"/>
      <c r="P3" s="6"/>
      <c r="Q3" s="6"/>
      <c r="R3" s="6"/>
      <c r="S3" s="6"/>
    </row>
    <row r="4" spans="2:19" s="4" customFormat="1" ht="21.95" customHeight="1" x14ac:dyDescent="0.25">
      <c r="B4" s="17" t="s">
        <v>9</v>
      </c>
      <c r="C4" s="18">
        <v>1</v>
      </c>
      <c r="D4" s="19" t="s">
        <v>10</v>
      </c>
      <c r="E4" s="18">
        <v>1</v>
      </c>
      <c r="F4" s="19" t="s">
        <v>11</v>
      </c>
      <c r="G4" s="20" t="s">
        <v>27</v>
      </c>
      <c r="H4" s="11"/>
      <c r="I4" s="11"/>
      <c r="J4" s="6"/>
      <c r="K4" s="6"/>
      <c r="L4" s="6"/>
      <c r="M4" s="6"/>
      <c r="N4" s="6"/>
      <c r="O4" s="6"/>
      <c r="P4" s="6"/>
      <c r="Q4" s="6"/>
      <c r="R4" s="6"/>
      <c r="S4" s="6"/>
    </row>
    <row r="5" spans="2:19" s="4" customFormat="1" ht="21.95" customHeight="1" x14ac:dyDescent="0.25">
      <c r="B5" s="17" t="s">
        <v>12</v>
      </c>
      <c r="C5" s="18">
        <v>2</v>
      </c>
      <c r="D5" s="19" t="s">
        <v>13</v>
      </c>
      <c r="E5" s="18">
        <v>2</v>
      </c>
      <c r="F5" s="19" t="s">
        <v>14</v>
      </c>
      <c r="G5" s="21" t="s">
        <v>28</v>
      </c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6"/>
    </row>
    <row r="6" spans="2:19" s="4" customFormat="1" ht="21.95" customHeight="1" x14ac:dyDescent="0.25">
      <c r="B6" s="17" t="s">
        <v>14</v>
      </c>
      <c r="C6" s="18">
        <v>3</v>
      </c>
      <c r="D6" s="19" t="s">
        <v>15</v>
      </c>
      <c r="E6" s="18">
        <v>3</v>
      </c>
      <c r="F6" s="19" t="s">
        <v>16</v>
      </c>
      <c r="G6" s="21" t="s">
        <v>29</v>
      </c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s="4" customFormat="1" ht="21.95" customHeight="1" x14ac:dyDescent="0.25">
      <c r="B7" s="17" t="s">
        <v>17</v>
      </c>
      <c r="C7" s="18">
        <v>4</v>
      </c>
      <c r="D7" s="19" t="s">
        <v>18</v>
      </c>
      <c r="E7" s="18">
        <v>4</v>
      </c>
      <c r="F7" s="19" t="s">
        <v>19</v>
      </c>
      <c r="G7" s="20" t="s">
        <v>30</v>
      </c>
      <c r="H7" s="11"/>
      <c r="I7" s="11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s="4" customFormat="1" ht="21.95" customHeight="1" x14ac:dyDescent="0.25">
      <c r="B8" s="22" t="s">
        <v>20</v>
      </c>
      <c r="C8" s="23">
        <v>5</v>
      </c>
      <c r="D8" s="24" t="s">
        <v>21</v>
      </c>
      <c r="E8" s="23">
        <v>5</v>
      </c>
      <c r="F8" s="24"/>
      <c r="G8" s="25"/>
      <c r="H8" s="11"/>
      <c r="I8" s="11"/>
      <c r="J8" s="6"/>
      <c r="K8" s="6"/>
      <c r="L8" s="6"/>
      <c r="M8" s="6"/>
      <c r="N8" s="6"/>
      <c r="O8" s="6"/>
      <c r="P8" s="6"/>
      <c r="Q8" s="6"/>
      <c r="R8" s="6"/>
      <c r="S8" s="6"/>
    </row>
    <row r="9" spans="2:19" ht="15" customHeight="1" x14ac:dyDescent="0.25">
      <c r="C9" s="7"/>
      <c r="D9" s="7"/>
      <c r="E9" s="7"/>
      <c r="F9" s="7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2:19" ht="45" customHeight="1" thickBot="1" x14ac:dyDescent="0.3">
      <c r="B10" s="26" t="s">
        <v>31</v>
      </c>
      <c r="C10" s="27" t="s">
        <v>32</v>
      </c>
      <c r="D10" s="27" t="s">
        <v>33</v>
      </c>
      <c r="E10" s="27" t="s">
        <v>34</v>
      </c>
      <c r="F10" s="27" t="s">
        <v>35</v>
      </c>
      <c r="G10" s="27" t="s">
        <v>36</v>
      </c>
      <c r="H10" s="27" t="s">
        <v>22</v>
      </c>
      <c r="I10" s="27" t="s">
        <v>24</v>
      </c>
      <c r="J10" s="27" t="s">
        <v>25</v>
      </c>
      <c r="K10" s="27" t="s">
        <v>249</v>
      </c>
      <c r="L10" s="27" t="s">
        <v>2</v>
      </c>
      <c r="M10" s="27" t="s">
        <v>37</v>
      </c>
      <c r="N10" s="27" t="s">
        <v>3</v>
      </c>
      <c r="O10" s="28" t="s">
        <v>38</v>
      </c>
      <c r="P10" s="27" t="s">
        <v>39</v>
      </c>
      <c r="Q10" s="27" t="s">
        <v>0</v>
      </c>
      <c r="R10" s="28" t="s">
        <v>4</v>
      </c>
      <c r="S10" s="29" t="s">
        <v>40</v>
      </c>
    </row>
    <row r="11" spans="2:19" ht="32.1" customHeight="1" thickTop="1" x14ac:dyDescent="0.25">
      <c r="B11" s="30" t="s">
        <v>65</v>
      </c>
      <c r="C11" s="31" t="s">
        <v>66</v>
      </c>
      <c r="D11" s="31" t="s">
        <v>67</v>
      </c>
      <c r="E11" s="31" t="s">
        <v>68</v>
      </c>
      <c r="F11" s="31" t="s">
        <v>69</v>
      </c>
      <c r="G11" s="31" t="s">
        <v>70</v>
      </c>
      <c r="H11" s="31">
        <v>4</v>
      </c>
      <c r="I11" s="31">
        <v>4</v>
      </c>
      <c r="J11" s="31">
        <f>Table2[[#This Row],[Impact Level]]*Table2[[#This Row],[Likelihood Level]]</f>
        <v>16</v>
      </c>
      <c r="K11" s="31" t="str" cm="1">
        <f t="array" ref="K11">_xlfn.IFS(
  J11&lt;=5, "Low",
  J11&lt;=10, "Medium",
  J11&lt;=15, "High",
  J11&lt;=25, "Extreme"
)</f>
        <v>Extreme</v>
      </c>
      <c r="L11" s="33" t="s">
        <v>43</v>
      </c>
      <c r="M11" s="33" t="s">
        <v>53</v>
      </c>
      <c r="N11" s="31" t="s">
        <v>240</v>
      </c>
      <c r="O11" s="34" t="s">
        <v>6</v>
      </c>
      <c r="P11" s="31" t="s">
        <v>212</v>
      </c>
      <c r="Q11" s="32" t="s">
        <v>237</v>
      </c>
      <c r="R11" s="35">
        <v>45870</v>
      </c>
      <c r="S11" s="36">
        <v>45962</v>
      </c>
    </row>
    <row r="12" spans="2:19" ht="32.1" customHeight="1" x14ac:dyDescent="0.25">
      <c r="B12" s="37" t="s">
        <v>71</v>
      </c>
      <c r="C12" s="32" t="s">
        <v>72</v>
      </c>
      <c r="D12" s="32" t="s">
        <v>73</v>
      </c>
      <c r="E12" s="32" t="s">
        <v>74</v>
      </c>
      <c r="F12" s="32" t="s">
        <v>75</v>
      </c>
      <c r="G12" s="32" t="s">
        <v>76</v>
      </c>
      <c r="H12" s="32">
        <v>5</v>
      </c>
      <c r="I12" s="32">
        <v>3</v>
      </c>
      <c r="J12" s="31">
        <f>Table2[[#This Row],[Impact Level]]*Table2[[#This Row],[Likelihood Level]]</f>
        <v>15</v>
      </c>
      <c r="K12" s="31" t="str" cm="1">
        <f t="array" ref="K12">_xlfn.IFS(
  J12&lt;=5, "Low",
  J12&lt;=10, "Medium",
  J12&lt;=15, "High",
  J12&lt;=25, "Extreme"
)</f>
        <v>High</v>
      </c>
      <c r="L12" s="32" t="s">
        <v>44</v>
      </c>
      <c r="M12" s="33" t="s">
        <v>52</v>
      </c>
      <c r="N12" s="33" t="s">
        <v>241</v>
      </c>
      <c r="O12" s="34" t="s">
        <v>7</v>
      </c>
      <c r="P12" s="33" t="s">
        <v>213</v>
      </c>
      <c r="Q12" s="32" t="s">
        <v>60</v>
      </c>
      <c r="R12" s="35">
        <v>45874</v>
      </c>
      <c r="S12" s="36">
        <v>45966</v>
      </c>
    </row>
    <row r="13" spans="2:19" ht="32.1" customHeight="1" x14ac:dyDescent="0.25">
      <c r="B13" s="37" t="s">
        <v>77</v>
      </c>
      <c r="C13" s="32" t="s">
        <v>78</v>
      </c>
      <c r="D13" s="32" t="s">
        <v>79</v>
      </c>
      <c r="E13" s="32" t="s">
        <v>80</v>
      </c>
      <c r="F13" s="32" t="s">
        <v>81</v>
      </c>
      <c r="G13" s="32" t="s">
        <v>82</v>
      </c>
      <c r="H13" s="32">
        <v>4</v>
      </c>
      <c r="I13" s="32">
        <v>3</v>
      </c>
      <c r="J13" s="31">
        <f>Table2[[#This Row],[Impact Level]]*Table2[[#This Row],[Likelihood Level]]</f>
        <v>12</v>
      </c>
      <c r="K13" s="31" t="str" cm="1">
        <f t="array" ref="K13">_xlfn.IFS(
  J13&lt;=5, "Low",
  J13&lt;=10, "Medium",
  J13&lt;=15, "High",
  J13&lt;=25, "Extreme"
)</f>
        <v>High</v>
      </c>
      <c r="L13" s="32" t="s">
        <v>47</v>
      </c>
      <c r="M13" s="33" t="s">
        <v>51</v>
      </c>
      <c r="N13" s="33" t="s">
        <v>242</v>
      </c>
      <c r="O13" s="34" t="s">
        <v>6</v>
      </c>
      <c r="P13" s="33" t="s">
        <v>214</v>
      </c>
      <c r="Q13" s="32" t="s">
        <v>237</v>
      </c>
      <c r="R13" s="35">
        <v>45877</v>
      </c>
      <c r="S13" s="36">
        <v>45969</v>
      </c>
    </row>
    <row r="14" spans="2:19" ht="32.1" customHeight="1" x14ac:dyDescent="0.25">
      <c r="B14" s="37" t="s">
        <v>83</v>
      </c>
      <c r="C14" s="32" t="s">
        <v>84</v>
      </c>
      <c r="D14" s="32" t="s">
        <v>85</v>
      </c>
      <c r="E14" s="32" t="s">
        <v>86</v>
      </c>
      <c r="F14" s="32" t="s">
        <v>87</v>
      </c>
      <c r="G14" s="32" t="s">
        <v>88</v>
      </c>
      <c r="H14" s="32">
        <v>4</v>
      </c>
      <c r="I14" s="32">
        <v>4</v>
      </c>
      <c r="J14" s="31">
        <f>Table2[[#This Row],[Impact Level]]*Table2[[#This Row],[Likelihood Level]]</f>
        <v>16</v>
      </c>
      <c r="K14" s="31" t="str" cm="1">
        <f t="array" ref="K14">_xlfn.IFS(
  J14&lt;=5, "Low",
  J14&lt;=10, "Medium",
  J14&lt;=15, "High",
  J14&lt;=25, "Extreme"
)</f>
        <v>Extreme</v>
      </c>
      <c r="L14" s="32" t="s">
        <v>45</v>
      </c>
      <c r="M14" s="33" t="s">
        <v>53</v>
      </c>
      <c r="N14" s="33" t="s">
        <v>243</v>
      </c>
      <c r="O14" s="34" t="s">
        <v>59</v>
      </c>
      <c r="P14" s="33" t="s">
        <v>215</v>
      </c>
      <c r="Q14" s="32" t="s">
        <v>60</v>
      </c>
      <c r="R14" s="35">
        <v>45881</v>
      </c>
      <c r="S14" s="36">
        <v>45973</v>
      </c>
    </row>
    <row r="15" spans="2:19" ht="32.1" customHeight="1" x14ac:dyDescent="0.25">
      <c r="B15" s="37" t="s">
        <v>89</v>
      </c>
      <c r="C15" s="32" t="s">
        <v>90</v>
      </c>
      <c r="D15" s="32" t="s">
        <v>91</v>
      </c>
      <c r="E15" s="32" t="s">
        <v>92</v>
      </c>
      <c r="F15" s="32" t="s">
        <v>238</v>
      </c>
      <c r="G15" s="32" t="s">
        <v>93</v>
      </c>
      <c r="H15" s="32">
        <v>5</v>
      </c>
      <c r="I15" s="32">
        <v>3</v>
      </c>
      <c r="J15" s="31">
        <f>Table2[[#This Row],[Impact Level]]*Table2[[#This Row],[Likelihood Level]]</f>
        <v>15</v>
      </c>
      <c r="K15" s="31" t="str" cm="1">
        <f t="array" ref="K15">_xlfn.IFS(
  J15&lt;=5, "Low",
  J15&lt;=10, "Medium",
  J15&lt;=15, "High",
  J15&lt;=25, "Extreme"
)</f>
        <v>High</v>
      </c>
      <c r="L15" s="32" t="s">
        <v>41</v>
      </c>
      <c r="M15" s="33" t="s">
        <v>56</v>
      </c>
      <c r="N15" s="33" t="s">
        <v>210</v>
      </c>
      <c r="O15" s="34" t="s">
        <v>6</v>
      </c>
      <c r="P15" s="33" t="s">
        <v>216</v>
      </c>
      <c r="Q15" s="32" t="s">
        <v>62</v>
      </c>
      <c r="R15" s="35">
        <v>45884</v>
      </c>
      <c r="S15" s="36">
        <v>45976</v>
      </c>
    </row>
    <row r="16" spans="2:19" ht="32.1" customHeight="1" x14ac:dyDescent="0.25">
      <c r="B16" s="37" t="s">
        <v>94</v>
      </c>
      <c r="C16" s="32" t="s">
        <v>95</v>
      </c>
      <c r="D16" s="32" t="s">
        <v>96</v>
      </c>
      <c r="E16" s="32" t="s">
        <v>97</v>
      </c>
      <c r="F16" s="32" t="s">
        <v>98</v>
      </c>
      <c r="G16" s="32" t="s">
        <v>99</v>
      </c>
      <c r="H16" s="32">
        <v>3</v>
      </c>
      <c r="I16" s="32">
        <v>3</v>
      </c>
      <c r="J16" s="31">
        <f>Table2[[#This Row],[Impact Level]]*Table2[[#This Row],[Likelihood Level]]</f>
        <v>9</v>
      </c>
      <c r="K16" s="31" t="str" cm="1">
        <f t="array" ref="K16">_xlfn.IFS(
  J16&lt;=5, "Low",
  J16&lt;=10, "Medium",
  J16&lt;=15, "High",
  J16&lt;=25, "Extreme"
)</f>
        <v>Medium</v>
      </c>
      <c r="L16" s="32" t="s">
        <v>42</v>
      </c>
      <c r="M16" s="33" t="s">
        <v>50</v>
      </c>
      <c r="N16" s="33" t="s">
        <v>248</v>
      </c>
      <c r="O16" s="34" t="s">
        <v>5</v>
      </c>
      <c r="P16" s="33" t="s">
        <v>217</v>
      </c>
      <c r="Q16" s="32" t="s">
        <v>61</v>
      </c>
      <c r="R16" s="35">
        <v>45888</v>
      </c>
      <c r="S16" s="36">
        <v>45980</v>
      </c>
    </row>
    <row r="17" spans="2:19" ht="32.1" customHeight="1" x14ac:dyDescent="0.25">
      <c r="B17" s="37" t="s">
        <v>100</v>
      </c>
      <c r="C17" s="32" t="s">
        <v>101</v>
      </c>
      <c r="D17" s="32" t="s">
        <v>102</v>
      </c>
      <c r="E17" s="32" t="s">
        <v>103</v>
      </c>
      <c r="F17" s="32" t="s">
        <v>104</v>
      </c>
      <c r="G17" s="32" t="s">
        <v>105</v>
      </c>
      <c r="H17" s="32">
        <v>4</v>
      </c>
      <c r="I17" s="32">
        <v>3</v>
      </c>
      <c r="J17" s="31">
        <f>Table2[[#This Row],[Impact Level]]*Table2[[#This Row],[Likelihood Level]]</f>
        <v>12</v>
      </c>
      <c r="K17" s="31" t="str" cm="1">
        <f t="array" ref="K17">_xlfn.IFS(
  J17&lt;=5, "Low",
  J17&lt;=10, "Medium",
  J17&lt;=15, "High",
  J17&lt;=25, "Extreme"
)</f>
        <v>High</v>
      </c>
      <c r="L17" s="32" t="s">
        <v>43</v>
      </c>
      <c r="M17" s="33" t="s">
        <v>51</v>
      </c>
      <c r="N17" s="33" t="s">
        <v>243</v>
      </c>
      <c r="O17" s="34" t="s">
        <v>6</v>
      </c>
      <c r="P17" s="33" t="s">
        <v>218</v>
      </c>
      <c r="Q17" s="32" t="s">
        <v>60</v>
      </c>
      <c r="R17" s="35">
        <v>45891</v>
      </c>
      <c r="S17" s="36">
        <v>45983</v>
      </c>
    </row>
    <row r="18" spans="2:19" ht="32.1" customHeight="1" x14ac:dyDescent="0.25">
      <c r="B18" s="37" t="s">
        <v>106</v>
      </c>
      <c r="C18" s="32" t="s">
        <v>107</v>
      </c>
      <c r="D18" s="32" t="s">
        <v>108</v>
      </c>
      <c r="E18" s="32" t="s">
        <v>109</v>
      </c>
      <c r="F18" s="32" t="s">
        <v>87</v>
      </c>
      <c r="G18" s="32" t="s">
        <v>110</v>
      </c>
      <c r="H18" s="32">
        <v>4</v>
      </c>
      <c r="I18" s="32">
        <v>2</v>
      </c>
      <c r="J18" s="31">
        <f>Table2[[#This Row],[Impact Level]]*Table2[[#This Row],[Likelihood Level]]</f>
        <v>8</v>
      </c>
      <c r="K18" s="31" t="str" cm="1">
        <f t="array" ref="K18">_xlfn.IFS(
  J18&lt;=5, "Low",
  J18&lt;=10, "Medium",
  J18&lt;=15, "High",
  J18&lt;=25, "Extreme"
)</f>
        <v>Medium</v>
      </c>
      <c r="L18" s="32" t="s">
        <v>45</v>
      </c>
      <c r="M18" s="33" t="s">
        <v>51</v>
      </c>
      <c r="N18" s="33" t="s">
        <v>245</v>
      </c>
      <c r="O18" s="34" t="s">
        <v>7</v>
      </c>
      <c r="P18" s="33" t="s">
        <v>219</v>
      </c>
      <c r="Q18" s="32" t="s">
        <v>60</v>
      </c>
      <c r="R18" s="35">
        <v>45895</v>
      </c>
      <c r="S18" s="36">
        <v>45987</v>
      </c>
    </row>
    <row r="19" spans="2:19" ht="32.1" customHeight="1" x14ac:dyDescent="0.25">
      <c r="B19" s="37" t="s">
        <v>111</v>
      </c>
      <c r="C19" s="32" t="s">
        <v>112</v>
      </c>
      <c r="D19" s="32" t="s">
        <v>113</v>
      </c>
      <c r="E19" s="32" t="s">
        <v>114</v>
      </c>
      <c r="F19" s="32" t="s">
        <v>115</v>
      </c>
      <c r="G19" s="32" t="s">
        <v>116</v>
      </c>
      <c r="H19" s="32">
        <v>3</v>
      </c>
      <c r="I19" s="32">
        <v>3</v>
      </c>
      <c r="J19" s="31">
        <f>Table2[[#This Row],[Impact Level]]*Table2[[#This Row],[Likelihood Level]]</f>
        <v>9</v>
      </c>
      <c r="K19" s="31" t="str" cm="1">
        <f t="array" ref="K19">_xlfn.IFS(
  J19&lt;=5, "Low",
  J19&lt;=10, "Medium",
  J19&lt;=15, "High",
  J19&lt;=25, "Extreme"
)</f>
        <v>Medium</v>
      </c>
      <c r="L19" s="32" t="s">
        <v>47</v>
      </c>
      <c r="M19" s="33" t="s">
        <v>50</v>
      </c>
      <c r="N19" s="33" t="s">
        <v>244</v>
      </c>
      <c r="O19" s="34" t="s">
        <v>6</v>
      </c>
      <c r="P19" s="33" t="s">
        <v>220</v>
      </c>
      <c r="Q19" s="32" t="s">
        <v>237</v>
      </c>
      <c r="R19" s="35">
        <v>45898</v>
      </c>
      <c r="S19" s="36">
        <v>45990</v>
      </c>
    </row>
    <row r="20" spans="2:19" ht="32.1" customHeight="1" x14ac:dyDescent="0.25">
      <c r="B20" s="37" t="s">
        <v>117</v>
      </c>
      <c r="C20" s="32" t="s">
        <v>118</v>
      </c>
      <c r="D20" s="32" t="s">
        <v>119</v>
      </c>
      <c r="E20" s="32" t="s">
        <v>120</v>
      </c>
      <c r="F20" s="32" t="s">
        <v>121</v>
      </c>
      <c r="G20" s="32" t="s">
        <v>122</v>
      </c>
      <c r="H20" s="32">
        <v>4</v>
      </c>
      <c r="I20" s="32">
        <v>4</v>
      </c>
      <c r="J20" s="31">
        <f>Table2[[#This Row],[Impact Level]]*Table2[[#This Row],[Likelihood Level]]</f>
        <v>16</v>
      </c>
      <c r="K20" s="31" t="str" cm="1">
        <f t="array" ref="K20">_xlfn.IFS(
  J20&lt;=5, "Low",
  J20&lt;=10, "Medium",
  J20&lt;=15, "High",
  J20&lt;=25, "Extreme"
)</f>
        <v>Extreme</v>
      </c>
      <c r="L20" s="32" t="s">
        <v>44</v>
      </c>
      <c r="M20" s="33" t="s">
        <v>50</v>
      </c>
      <c r="N20" s="33" t="s">
        <v>241</v>
      </c>
      <c r="O20" s="34" t="s">
        <v>59</v>
      </c>
      <c r="P20" s="33" t="s">
        <v>221</v>
      </c>
      <c r="Q20" s="32" t="s">
        <v>237</v>
      </c>
      <c r="R20" s="35">
        <v>45902</v>
      </c>
      <c r="S20" s="36">
        <v>45993</v>
      </c>
    </row>
    <row r="21" spans="2:19" ht="32.1" customHeight="1" x14ac:dyDescent="0.25">
      <c r="B21" s="37" t="s">
        <v>123</v>
      </c>
      <c r="C21" s="32" t="s">
        <v>124</v>
      </c>
      <c r="D21" s="32" t="s">
        <v>125</v>
      </c>
      <c r="E21" s="32" t="s">
        <v>126</v>
      </c>
      <c r="F21" s="32" t="s">
        <v>98</v>
      </c>
      <c r="G21" s="32" t="s">
        <v>127</v>
      </c>
      <c r="H21" s="32">
        <v>2</v>
      </c>
      <c r="I21" s="32">
        <v>2</v>
      </c>
      <c r="J21" s="31">
        <f>Table2[[#This Row],[Impact Level]]*Table2[[#This Row],[Likelihood Level]]</f>
        <v>4</v>
      </c>
      <c r="K21" s="31" t="str" cm="1">
        <f t="array" ref="K21">_xlfn.IFS(
  J21&lt;=5, "Low",
  J21&lt;=10, "Medium",
  J21&lt;=15, "High",
  J21&lt;=25, "Extreme"
)</f>
        <v>Low</v>
      </c>
      <c r="L21" s="32" t="s">
        <v>42</v>
      </c>
      <c r="M21" s="33" t="s">
        <v>55</v>
      </c>
      <c r="N21" s="33" t="s">
        <v>211</v>
      </c>
      <c r="O21" s="34" t="s">
        <v>5</v>
      </c>
      <c r="P21" s="33" t="s">
        <v>222</v>
      </c>
      <c r="Q21" s="32" t="s">
        <v>63</v>
      </c>
      <c r="R21" s="35">
        <v>45905</v>
      </c>
      <c r="S21" s="36">
        <v>45996</v>
      </c>
    </row>
    <row r="22" spans="2:19" ht="32.1" customHeight="1" x14ac:dyDescent="0.25">
      <c r="B22" s="37" t="s">
        <v>128</v>
      </c>
      <c r="C22" s="32" t="s">
        <v>129</v>
      </c>
      <c r="D22" s="32" t="s">
        <v>130</v>
      </c>
      <c r="E22" s="32" t="s">
        <v>131</v>
      </c>
      <c r="F22" s="32" t="s">
        <v>132</v>
      </c>
      <c r="G22" s="32" t="s">
        <v>133</v>
      </c>
      <c r="H22" s="32">
        <v>3</v>
      </c>
      <c r="I22" s="32">
        <v>3</v>
      </c>
      <c r="J22" s="31">
        <f>Table2[[#This Row],[Impact Level]]*Table2[[#This Row],[Likelihood Level]]</f>
        <v>9</v>
      </c>
      <c r="K22" s="31" t="str" cm="1">
        <f t="array" ref="K22">_xlfn.IFS(
  J22&lt;=5, "Low",
  J22&lt;=10, "Medium",
  J22&lt;=15, "High",
  J22&lt;=25, "Extreme"
)</f>
        <v>Medium</v>
      </c>
      <c r="L22" s="32" t="s">
        <v>46</v>
      </c>
      <c r="M22" s="33" t="s">
        <v>53</v>
      </c>
      <c r="N22" s="33" t="s">
        <v>247</v>
      </c>
      <c r="O22" s="34" t="s">
        <v>6</v>
      </c>
      <c r="P22" s="33" t="s">
        <v>223</v>
      </c>
      <c r="Q22" s="32" t="s">
        <v>61</v>
      </c>
      <c r="R22" s="35">
        <v>45909</v>
      </c>
      <c r="S22" s="36">
        <v>46000</v>
      </c>
    </row>
    <row r="23" spans="2:19" ht="32.1" customHeight="1" x14ac:dyDescent="0.25">
      <c r="B23" s="37" t="s">
        <v>134</v>
      </c>
      <c r="C23" s="32" t="s">
        <v>135</v>
      </c>
      <c r="D23" s="32" t="s">
        <v>136</v>
      </c>
      <c r="E23" s="32" t="s">
        <v>137</v>
      </c>
      <c r="F23" s="32" t="s">
        <v>138</v>
      </c>
      <c r="G23" s="32" t="s">
        <v>139</v>
      </c>
      <c r="H23" s="32">
        <v>4</v>
      </c>
      <c r="I23" s="32">
        <v>3</v>
      </c>
      <c r="J23" s="31">
        <f>Table2[[#This Row],[Impact Level]]*Table2[[#This Row],[Likelihood Level]]</f>
        <v>12</v>
      </c>
      <c r="K23" s="31" t="str" cm="1">
        <f t="array" ref="K23">_xlfn.IFS(
  J23&lt;=5, "Low",
  J23&lt;=10, "Medium",
  J23&lt;=15, "High",
  J23&lt;=25, "Extreme"
)</f>
        <v>High</v>
      </c>
      <c r="L23" s="32" t="s">
        <v>41</v>
      </c>
      <c r="M23" s="33" t="s">
        <v>56</v>
      </c>
      <c r="N23" s="33" t="s">
        <v>240</v>
      </c>
      <c r="O23" s="34" t="s">
        <v>6</v>
      </c>
      <c r="P23" s="33" t="s">
        <v>224</v>
      </c>
      <c r="Q23" s="32" t="s">
        <v>237</v>
      </c>
      <c r="R23" s="35">
        <v>45912</v>
      </c>
      <c r="S23" s="36">
        <v>46003</v>
      </c>
    </row>
    <row r="24" spans="2:19" ht="32.1" customHeight="1" x14ac:dyDescent="0.25">
      <c r="B24" s="37" t="s">
        <v>140</v>
      </c>
      <c r="C24" s="32" t="s">
        <v>141</v>
      </c>
      <c r="D24" s="32" t="s">
        <v>142</v>
      </c>
      <c r="E24" s="32" t="s">
        <v>143</v>
      </c>
      <c r="F24" s="32" t="s">
        <v>144</v>
      </c>
      <c r="G24" s="32" t="s">
        <v>145</v>
      </c>
      <c r="H24" s="32">
        <v>4</v>
      </c>
      <c r="I24" s="32">
        <v>3</v>
      </c>
      <c r="J24" s="31">
        <f>Table2[[#This Row],[Impact Level]]*Table2[[#This Row],[Likelihood Level]]</f>
        <v>12</v>
      </c>
      <c r="K24" s="31" t="str" cm="1">
        <f t="array" ref="K24">_xlfn.IFS(
  J24&lt;=5, "Low",
  J24&lt;=10, "Medium",
  J24&lt;=15, "High",
  J24&lt;=25, "Extreme"
)</f>
        <v>High</v>
      </c>
      <c r="L24" s="32" t="s">
        <v>49</v>
      </c>
      <c r="M24" s="33" t="s">
        <v>50</v>
      </c>
      <c r="N24" s="33" t="s">
        <v>246</v>
      </c>
      <c r="O24" s="34" t="s">
        <v>6</v>
      </c>
      <c r="P24" s="33" t="s">
        <v>225</v>
      </c>
      <c r="Q24" s="32" t="s">
        <v>60</v>
      </c>
      <c r="R24" s="35">
        <v>45916</v>
      </c>
      <c r="S24" s="36">
        <v>46007</v>
      </c>
    </row>
    <row r="25" spans="2:19" ht="32.1" customHeight="1" x14ac:dyDescent="0.25">
      <c r="B25" s="37" t="s">
        <v>146</v>
      </c>
      <c r="C25" s="32" t="s">
        <v>147</v>
      </c>
      <c r="D25" s="32" t="s">
        <v>148</v>
      </c>
      <c r="E25" s="32" t="s">
        <v>149</v>
      </c>
      <c r="F25" s="32" t="s">
        <v>150</v>
      </c>
      <c r="G25" s="32" t="s">
        <v>151</v>
      </c>
      <c r="H25" s="32">
        <v>3</v>
      </c>
      <c r="I25" s="32">
        <v>4</v>
      </c>
      <c r="J25" s="31">
        <f>Table2[[#This Row],[Impact Level]]*Table2[[#This Row],[Likelihood Level]]</f>
        <v>12</v>
      </c>
      <c r="K25" s="31" t="str" cm="1">
        <f t="array" ref="K25">_xlfn.IFS(
  J25&lt;=5, "Low",
  J25&lt;=10, "Medium",
  J25&lt;=15, "High",
  J25&lt;=25, "Extreme"
)</f>
        <v>High</v>
      </c>
      <c r="L25" s="32" t="s">
        <v>42</v>
      </c>
      <c r="M25" s="33" t="s">
        <v>53</v>
      </c>
      <c r="N25" s="33" t="s">
        <v>243</v>
      </c>
      <c r="O25" s="34" t="s">
        <v>58</v>
      </c>
      <c r="P25" s="33" t="s">
        <v>226</v>
      </c>
      <c r="Q25" s="32" t="s">
        <v>237</v>
      </c>
      <c r="R25" s="35">
        <v>45919</v>
      </c>
      <c r="S25" s="36">
        <v>46010</v>
      </c>
    </row>
    <row r="26" spans="2:19" ht="32.1" customHeight="1" x14ac:dyDescent="0.25">
      <c r="B26" s="37" t="s">
        <v>152</v>
      </c>
      <c r="C26" s="32" t="s">
        <v>153</v>
      </c>
      <c r="D26" s="32" t="s">
        <v>154</v>
      </c>
      <c r="E26" s="32" t="s">
        <v>155</v>
      </c>
      <c r="F26" s="32" t="s">
        <v>132</v>
      </c>
      <c r="G26" s="32" t="s">
        <v>156</v>
      </c>
      <c r="H26" s="32">
        <v>4</v>
      </c>
      <c r="I26" s="32">
        <v>3</v>
      </c>
      <c r="J26" s="31">
        <f>Table2[[#This Row],[Impact Level]]*Table2[[#This Row],[Likelihood Level]]</f>
        <v>12</v>
      </c>
      <c r="K26" s="31" t="str" cm="1">
        <f t="array" ref="K26">_xlfn.IFS(
  J26&lt;=5, "Low",
  J26&lt;=10, "Medium",
  J26&lt;=15, "High",
  J26&lt;=25, "Extreme"
)</f>
        <v>High</v>
      </c>
      <c r="L26" s="32" t="s">
        <v>47</v>
      </c>
      <c r="M26" s="33" t="s">
        <v>50</v>
      </c>
      <c r="N26" s="33" t="s">
        <v>244</v>
      </c>
      <c r="O26" s="34" t="s">
        <v>6</v>
      </c>
      <c r="P26" s="33" t="s">
        <v>227</v>
      </c>
      <c r="Q26" s="32" t="s">
        <v>62</v>
      </c>
      <c r="R26" s="35">
        <v>45923</v>
      </c>
      <c r="S26" s="36">
        <v>46014</v>
      </c>
    </row>
    <row r="27" spans="2:19" ht="32.1" customHeight="1" x14ac:dyDescent="0.25">
      <c r="B27" s="37" t="s">
        <v>157</v>
      </c>
      <c r="C27" s="32" t="s">
        <v>158</v>
      </c>
      <c r="D27" s="32" t="s">
        <v>159</v>
      </c>
      <c r="E27" s="32" t="s">
        <v>160</v>
      </c>
      <c r="F27" s="32" t="s">
        <v>161</v>
      </c>
      <c r="G27" s="32" t="s">
        <v>162</v>
      </c>
      <c r="H27" s="32">
        <v>4</v>
      </c>
      <c r="I27" s="32">
        <v>3</v>
      </c>
      <c r="J27" s="31">
        <f>Table2[[#This Row],[Impact Level]]*Table2[[#This Row],[Likelihood Level]]</f>
        <v>12</v>
      </c>
      <c r="K27" s="31" t="str" cm="1">
        <f t="array" ref="K27">_xlfn.IFS(
  J27&lt;=5, "Low",
  J27&lt;=10, "Medium",
  J27&lt;=15, "High",
  J27&lt;=25, "Extreme"
)</f>
        <v>High</v>
      </c>
      <c r="L27" s="32" t="s">
        <v>41</v>
      </c>
      <c r="M27" s="33" t="s">
        <v>51</v>
      </c>
      <c r="N27" s="33" t="s">
        <v>245</v>
      </c>
      <c r="O27" s="34" t="s">
        <v>7</v>
      </c>
      <c r="P27" s="33" t="s">
        <v>228</v>
      </c>
      <c r="Q27" s="32" t="s">
        <v>60</v>
      </c>
      <c r="R27" s="35">
        <v>45926</v>
      </c>
      <c r="S27" s="36">
        <v>46017</v>
      </c>
    </row>
    <row r="28" spans="2:19" ht="32.1" customHeight="1" x14ac:dyDescent="0.25">
      <c r="B28" s="37" t="s">
        <v>163</v>
      </c>
      <c r="C28" s="32" t="s">
        <v>164</v>
      </c>
      <c r="D28" s="32" t="s">
        <v>165</v>
      </c>
      <c r="E28" s="32" t="s">
        <v>166</v>
      </c>
      <c r="F28" s="32" t="s">
        <v>167</v>
      </c>
      <c r="G28" s="32" t="s">
        <v>168</v>
      </c>
      <c r="H28" s="32">
        <v>2</v>
      </c>
      <c r="I28" s="32">
        <v>4</v>
      </c>
      <c r="J28" s="31">
        <f>Table2[[#This Row],[Impact Level]]*Table2[[#This Row],[Likelihood Level]]</f>
        <v>8</v>
      </c>
      <c r="K28" s="31" t="str" cm="1">
        <f t="array" ref="K28">_xlfn.IFS(
  J28&lt;=5, "Low",
  J28&lt;=10, "Medium",
  J28&lt;=15, "High",
  J28&lt;=25, "Extreme"
)</f>
        <v>Medium</v>
      </c>
      <c r="L28" s="32" t="s">
        <v>47</v>
      </c>
      <c r="M28" s="33" t="s">
        <v>51</v>
      </c>
      <c r="N28" s="33" t="s">
        <v>242</v>
      </c>
      <c r="O28" s="34" t="s">
        <v>5</v>
      </c>
      <c r="P28" s="33" t="s">
        <v>229</v>
      </c>
      <c r="Q28" s="32" t="s">
        <v>61</v>
      </c>
      <c r="R28" s="35">
        <v>45930</v>
      </c>
      <c r="S28" s="36">
        <v>46021</v>
      </c>
    </row>
    <row r="29" spans="2:19" ht="32.1" customHeight="1" x14ac:dyDescent="0.25">
      <c r="B29" s="37" t="s">
        <v>169</v>
      </c>
      <c r="C29" s="32" t="s">
        <v>170</v>
      </c>
      <c r="D29" s="32" t="s">
        <v>171</v>
      </c>
      <c r="E29" s="32" t="s">
        <v>172</v>
      </c>
      <c r="F29" s="32" t="s">
        <v>173</v>
      </c>
      <c r="G29" s="32" t="s">
        <v>174</v>
      </c>
      <c r="H29" s="32">
        <v>4</v>
      </c>
      <c r="I29" s="32">
        <v>3</v>
      </c>
      <c r="J29" s="31">
        <f>Table2[[#This Row],[Impact Level]]*Table2[[#This Row],[Likelihood Level]]</f>
        <v>12</v>
      </c>
      <c r="K29" s="31" t="str" cm="1">
        <f t="array" ref="K29">_xlfn.IFS(
  J29&lt;=5, "Low",
  J29&lt;=10, "Medium",
  J29&lt;=15, "High",
  J29&lt;=25, "Extreme"
)</f>
        <v>High</v>
      </c>
      <c r="L29" s="32" t="s">
        <v>49</v>
      </c>
      <c r="M29" s="33" t="s">
        <v>53</v>
      </c>
      <c r="N29" s="33" t="s">
        <v>210</v>
      </c>
      <c r="O29" s="34" t="s">
        <v>6</v>
      </c>
      <c r="P29" s="33" t="s">
        <v>230</v>
      </c>
      <c r="Q29" s="32" t="s">
        <v>237</v>
      </c>
      <c r="R29" s="35">
        <v>45933</v>
      </c>
      <c r="S29" s="36">
        <v>46025</v>
      </c>
    </row>
    <row r="30" spans="2:19" ht="32.1" customHeight="1" x14ac:dyDescent="0.25">
      <c r="B30" s="37" t="s">
        <v>175</v>
      </c>
      <c r="C30" s="32" t="s">
        <v>176</v>
      </c>
      <c r="D30" s="32" t="s">
        <v>177</v>
      </c>
      <c r="E30" s="32" t="s">
        <v>178</v>
      </c>
      <c r="F30" s="32" t="s">
        <v>179</v>
      </c>
      <c r="G30" s="32" t="s">
        <v>180</v>
      </c>
      <c r="H30" s="32">
        <v>5</v>
      </c>
      <c r="I30" s="32">
        <v>2</v>
      </c>
      <c r="J30" s="31">
        <f>Table2[[#This Row],[Impact Level]]*Table2[[#This Row],[Likelihood Level]]</f>
        <v>10</v>
      </c>
      <c r="K30" s="31" t="str" cm="1">
        <f t="array" ref="K30">_xlfn.IFS(
  J30&lt;=5, "Low",
  J30&lt;=10, "Medium",
  J30&lt;=15, "High",
  J30&lt;=25, "Extreme"
)</f>
        <v>Medium</v>
      </c>
      <c r="L30" s="32" t="s">
        <v>45</v>
      </c>
      <c r="M30" s="33" t="s">
        <v>56</v>
      </c>
      <c r="N30" s="33" t="s">
        <v>243</v>
      </c>
      <c r="O30" s="34" t="s">
        <v>7</v>
      </c>
      <c r="P30" s="33" t="s">
        <v>231</v>
      </c>
      <c r="Q30" s="32" t="s">
        <v>61</v>
      </c>
      <c r="R30" s="35">
        <v>45937</v>
      </c>
      <c r="S30" s="36">
        <v>46029</v>
      </c>
    </row>
    <row r="31" spans="2:19" ht="32.1" customHeight="1" x14ac:dyDescent="0.25">
      <c r="B31" s="37" t="s">
        <v>181</v>
      </c>
      <c r="C31" s="32" t="s">
        <v>182</v>
      </c>
      <c r="D31" s="32" t="s">
        <v>183</v>
      </c>
      <c r="E31" s="32" t="s">
        <v>184</v>
      </c>
      <c r="F31" s="32" t="s">
        <v>185</v>
      </c>
      <c r="G31" s="32" t="s">
        <v>186</v>
      </c>
      <c r="H31" s="32">
        <v>4</v>
      </c>
      <c r="I31" s="32">
        <v>3</v>
      </c>
      <c r="J31" s="31">
        <f>Table2[[#This Row],[Impact Level]]*Table2[[#This Row],[Likelihood Level]]</f>
        <v>12</v>
      </c>
      <c r="K31" s="31" t="str" cm="1">
        <f t="array" ref="K31">_xlfn.IFS(
  J31&lt;=5, "Low",
  J31&lt;=10, "Medium",
  J31&lt;=15, "High",
  J31&lt;=25, "Extreme"
)</f>
        <v>High</v>
      </c>
      <c r="L31" s="32" t="s">
        <v>46</v>
      </c>
      <c r="M31" s="33" t="s">
        <v>50</v>
      </c>
      <c r="N31" s="33" t="s">
        <v>248</v>
      </c>
      <c r="O31" s="34" t="s">
        <v>59</v>
      </c>
      <c r="P31" s="33" t="s">
        <v>232</v>
      </c>
      <c r="Q31" s="32" t="s">
        <v>237</v>
      </c>
      <c r="R31" s="35">
        <v>45940</v>
      </c>
      <c r="S31" s="36">
        <v>46032</v>
      </c>
    </row>
    <row r="32" spans="2:19" ht="32.1" customHeight="1" x14ac:dyDescent="0.25">
      <c r="B32" s="37" t="s">
        <v>187</v>
      </c>
      <c r="C32" s="32" t="s">
        <v>188</v>
      </c>
      <c r="D32" s="32" t="s">
        <v>189</v>
      </c>
      <c r="E32" s="32" t="s">
        <v>190</v>
      </c>
      <c r="F32" s="32" t="s">
        <v>191</v>
      </c>
      <c r="G32" s="32" t="s">
        <v>192</v>
      </c>
      <c r="H32" s="32">
        <v>3</v>
      </c>
      <c r="I32" s="32">
        <v>4</v>
      </c>
      <c r="J32" s="31">
        <f>Table2[[#This Row],[Impact Level]]*Table2[[#This Row],[Likelihood Level]]</f>
        <v>12</v>
      </c>
      <c r="K32" s="31" t="str" cm="1">
        <f t="array" ref="K32">_xlfn.IFS(
  J32&lt;=5, "Low",
  J32&lt;=10, "Medium",
  J32&lt;=15, "High",
  J32&lt;=25, "Extreme"
)</f>
        <v>High</v>
      </c>
      <c r="L32" s="32" t="s">
        <v>43</v>
      </c>
      <c r="M32" s="33" t="s">
        <v>53</v>
      </c>
      <c r="N32" s="33" t="s">
        <v>240</v>
      </c>
      <c r="O32" s="34" t="s">
        <v>58</v>
      </c>
      <c r="P32" s="33" t="s">
        <v>233</v>
      </c>
      <c r="Q32" s="32" t="s">
        <v>61</v>
      </c>
      <c r="R32" s="35">
        <v>45944</v>
      </c>
      <c r="S32" s="36">
        <v>46036</v>
      </c>
    </row>
    <row r="33" spans="2:19" ht="32.1" customHeight="1" x14ac:dyDescent="0.25">
      <c r="B33" s="37" t="s">
        <v>193</v>
      </c>
      <c r="C33" s="32" t="s">
        <v>194</v>
      </c>
      <c r="D33" s="32" t="s">
        <v>195</v>
      </c>
      <c r="E33" s="32" t="s">
        <v>196</v>
      </c>
      <c r="F33" s="32" t="s">
        <v>197</v>
      </c>
      <c r="G33" s="32" t="s">
        <v>198</v>
      </c>
      <c r="H33" s="32">
        <v>4</v>
      </c>
      <c r="I33" s="32">
        <v>3</v>
      </c>
      <c r="J33" s="31">
        <f>Table2[[#This Row],[Impact Level]]*Table2[[#This Row],[Likelihood Level]]</f>
        <v>12</v>
      </c>
      <c r="K33" s="31" t="str" cm="1">
        <f t="array" ref="K33">_xlfn.IFS(
  J33&lt;=5, "Low",
  J33&lt;=10, "Medium",
  J33&lt;=15, "High",
  J33&lt;=25, "Extreme"
)</f>
        <v>High</v>
      </c>
      <c r="L33" s="32" t="s">
        <v>47</v>
      </c>
      <c r="M33" s="33" t="s">
        <v>52</v>
      </c>
      <c r="N33" s="33" t="s">
        <v>246</v>
      </c>
      <c r="O33" s="34" t="s">
        <v>6</v>
      </c>
      <c r="P33" s="33" t="s">
        <v>234</v>
      </c>
      <c r="Q33" s="32" t="s">
        <v>64</v>
      </c>
      <c r="R33" s="35">
        <v>45947</v>
      </c>
      <c r="S33" s="36">
        <v>46039</v>
      </c>
    </row>
    <row r="34" spans="2:19" ht="32.1" customHeight="1" x14ac:dyDescent="0.25">
      <c r="B34" s="37" t="s">
        <v>199</v>
      </c>
      <c r="C34" s="32" t="s">
        <v>200</v>
      </c>
      <c r="D34" s="32" t="s">
        <v>201</v>
      </c>
      <c r="E34" s="32" t="s">
        <v>202</v>
      </c>
      <c r="F34" s="32" t="s">
        <v>150</v>
      </c>
      <c r="G34" s="32" t="s">
        <v>203</v>
      </c>
      <c r="H34" s="32">
        <v>4</v>
      </c>
      <c r="I34" s="32">
        <v>3</v>
      </c>
      <c r="J34" s="31">
        <f>Table2[[#This Row],[Impact Level]]*Table2[[#This Row],[Likelihood Level]]</f>
        <v>12</v>
      </c>
      <c r="K34" s="31" t="str" cm="1">
        <f t="array" ref="K34">_xlfn.IFS(
  J34&lt;=5, "Low",
  J34&lt;=10, "Medium",
  J34&lt;=15, "High",
  J34&lt;=25, "Extreme"
)</f>
        <v>High</v>
      </c>
      <c r="L34" s="32" t="s">
        <v>42</v>
      </c>
      <c r="M34" s="33" t="s">
        <v>57</v>
      </c>
      <c r="N34" s="33" t="s">
        <v>241</v>
      </c>
      <c r="O34" s="34" t="s">
        <v>6</v>
      </c>
      <c r="P34" s="33" t="s">
        <v>235</v>
      </c>
      <c r="Q34" s="32" t="s">
        <v>1</v>
      </c>
      <c r="R34" s="35">
        <v>45951</v>
      </c>
      <c r="S34" s="36">
        <v>46043</v>
      </c>
    </row>
    <row r="35" spans="2:19" ht="32.1" customHeight="1" x14ac:dyDescent="0.25">
      <c r="B35" s="38" t="s">
        <v>204</v>
      </c>
      <c r="C35" s="39" t="s">
        <v>205</v>
      </c>
      <c r="D35" s="39" t="s">
        <v>206</v>
      </c>
      <c r="E35" s="39" t="s">
        <v>207</v>
      </c>
      <c r="F35" s="39" t="s">
        <v>208</v>
      </c>
      <c r="G35" s="39" t="s">
        <v>209</v>
      </c>
      <c r="H35" s="39">
        <v>3</v>
      </c>
      <c r="I35" s="39">
        <v>3</v>
      </c>
      <c r="J35" s="31">
        <f>Table2[[#This Row],[Impact Level]]*Table2[[#This Row],[Likelihood Level]]</f>
        <v>9</v>
      </c>
      <c r="K35" s="56" t="str" cm="1">
        <f t="array" ref="K35">_xlfn.IFS(
  J35&lt;=5, "Low",
  J35&lt;=10, "Medium",
  J35&lt;=15, "High",
  J35&lt;=25, "Extreme"
)</f>
        <v>Medium</v>
      </c>
      <c r="L35" s="39" t="s">
        <v>42</v>
      </c>
      <c r="M35" s="40" t="s">
        <v>52</v>
      </c>
      <c r="N35" s="40" t="s">
        <v>247</v>
      </c>
      <c r="O35" s="41" t="s">
        <v>5</v>
      </c>
      <c r="P35" s="40" t="s">
        <v>236</v>
      </c>
      <c r="Q35" s="39" t="s">
        <v>1</v>
      </c>
      <c r="R35" s="42">
        <v>45954</v>
      </c>
      <c r="S35" s="43">
        <v>46046</v>
      </c>
    </row>
  </sheetData>
  <conditionalFormatting sqref="L11:L35">
    <cfRule type="containsText" dxfId="43" priority="28" operator="containsText" text="Denial of Service">
      <formula>NOT(ISERROR(SEARCH("Denial of Service",L11)))</formula>
    </cfRule>
    <cfRule type="containsText" dxfId="42" priority="29" operator="containsText" text="Regulatory Compliance">
      <formula>NOT(ISERROR(SEARCH("Regulatory Compliance",L11)))</formula>
    </cfRule>
    <cfRule type="containsText" dxfId="41" priority="30" operator="containsText" text="System Misconfiguration">
      <formula>NOT(ISERROR(SEARCH("System Misconfiguration",L11)))</formula>
    </cfRule>
    <cfRule type="containsText" dxfId="40" priority="31" operator="containsText" text="Access Control Failure">
      <formula>NOT(ISERROR(SEARCH("Access Control Failure",L11)))</formula>
    </cfRule>
    <cfRule type="containsText" dxfId="39" priority="32" operator="containsText" text="Third-Party Risk">
      <formula>NOT(ISERROR(SEARCH("Third-Party Risk",L11)))</formula>
    </cfRule>
    <cfRule type="containsText" dxfId="38" priority="33" operator="containsText" text="Malware / Ransomware">
      <formula>NOT(ISERROR(SEARCH("Malware / Ransomware",L11)))</formula>
    </cfRule>
    <cfRule type="containsText" dxfId="37" priority="34" operator="containsText" text="Phishing / Social Engineering">
      <formula>NOT(ISERROR(SEARCH("Phishing / Social Engineering",L11)))</formula>
    </cfRule>
    <cfRule type="containsText" dxfId="36" priority="35" operator="containsText" text="Insider Threat">
      <formula>NOT(ISERROR(SEARCH("Insider Threat",L11)))</formula>
    </cfRule>
    <cfRule type="containsText" dxfId="35" priority="36" operator="containsText" text="Data Breach">
      <formula>NOT(ISERROR(SEARCH("Data Breach",L11)))</formula>
    </cfRule>
  </conditionalFormatting>
  <conditionalFormatting sqref="M11:M35">
    <cfRule type="containsText" dxfId="34" priority="20" operator="containsText" text="Policy / Governance">
      <formula>NOT(ISERROR(SEARCH("Policy / Governance",M11)))</formula>
    </cfRule>
    <cfRule type="containsText" dxfId="33" priority="21" operator="containsText" text="Cloud / SaaS">
      <formula>NOT(ISERROR(SEARCH("Cloud / SaaS",M11)))</formula>
    </cfRule>
    <cfRule type="containsText" dxfId="32" priority="22" operator="containsText" text="Physical Security">
      <formula>NOT(ISERROR(SEARCH("Physical Security",M11)))</formula>
    </cfRule>
    <cfRule type="containsText" dxfId="31" priority="23" operator="containsText" text="Data Protection">
      <formula>NOT(ISERROR(SEARCH("Data Protection",M11)))</formula>
    </cfRule>
    <cfRule type="containsText" dxfId="30" priority="24" operator="containsText" text="Identity and Access Control">
      <formula>NOT(ISERROR(SEARCH("Identity and Access Control",M11)))</formula>
    </cfRule>
    <cfRule type="containsText" dxfId="29" priority="25" operator="containsText" text="Endpoint">
      <formula>NOT(ISERROR(SEARCH("Endpoint",M11)))</formula>
    </cfRule>
    <cfRule type="containsText" dxfId="28" priority="26" operator="containsText" text="Application">
      <formula>NOT(ISERROR(SEARCH("Application",M11)))</formula>
    </cfRule>
    <cfRule type="containsText" dxfId="27" priority="27" operator="containsText" text="Network">
      <formula>NOT(ISERROR(SEARCH("Network",M11)))</formula>
    </cfRule>
  </conditionalFormatting>
  <conditionalFormatting sqref="O11:O35">
    <cfRule type="containsText" dxfId="26" priority="14" operator="containsText" text="Escalate">
      <formula>NOT(ISERROR(SEARCH("Escalate",O11)))</formula>
    </cfRule>
    <cfRule type="containsText" dxfId="25" priority="15" operator="containsText" text="Monitor">
      <formula>NOT(ISERROR(SEARCH("Monitor",O11)))</formula>
    </cfRule>
    <cfRule type="containsText" dxfId="24" priority="16" operator="containsText" text="Accept">
      <formula>NOT(ISERROR(SEARCH("Accept",O11)))</formula>
    </cfRule>
    <cfRule type="containsText" dxfId="23" priority="17" operator="containsText" text="Transfer">
      <formula>NOT(ISERROR(SEARCH("Transfer",O11)))</formula>
    </cfRule>
    <cfRule type="containsText" dxfId="22" priority="18" operator="containsText" text="Mitigate">
      <formula>NOT(ISERROR(SEARCH("Mitigate",O11)))</formula>
    </cfRule>
    <cfRule type="containsText" dxfId="21" priority="19" operator="containsText" text="Avoid">
      <formula>NOT(ISERROR(SEARCH("Avoid",O11)))</formula>
    </cfRule>
  </conditionalFormatting>
  <conditionalFormatting sqref="Q11:Q35">
    <cfRule type="containsText" dxfId="20" priority="7" operator="containsText" text="Transferred">
      <formula>NOT(ISERROR(SEARCH("Transferred",Q11)))</formula>
    </cfRule>
    <cfRule type="containsText" dxfId="19" priority="8" operator="containsText" text="Mitigation In Progress">
      <formula>NOT(ISERROR(SEARCH("Mitigation In Progress",Q11)))</formula>
    </cfRule>
    <cfRule type="containsText" dxfId="18" priority="9" operator="containsText" text="Accepted">
      <formula>NOT(ISERROR(SEARCH("Accepted",Q11)))</formula>
    </cfRule>
    <cfRule type="containsText" dxfId="17" priority="10" operator="containsText" text="Mitigated">
      <formula>NOT(ISERROR(SEARCH("Mitigated",Q11)))</formula>
    </cfRule>
    <cfRule type="containsText" dxfId="16" priority="11" operator="containsText" text="Closed">
      <formula>NOT(ISERROR(SEARCH("Closed",Q11)))</formula>
    </cfRule>
    <cfRule type="containsText" dxfId="15" priority="12" operator="containsText" text="In Review">
      <formula>NOT(ISERROR(SEARCH("In Review",Q11)))</formula>
    </cfRule>
    <cfRule type="containsText" dxfId="14" priority="13" operator="containsText" text="Open">
      <formula>NOT(ISERROR(SEARCH("Open",Q11)))</formula>
    </cfRule>
  </conditionalFormatting>
  <conditionalFormatting sqref="K11:K35">
    <cfRule type="expression" dxfId="5" priority="6">
      <formula>AND($K2&gt;=1,$K2&lt;=5)</formula>
    </cfRule>
    <cfRule type="cellIs" dxfId="6" priority="4" operator="equal">
      <formula>"Low"</formula>
    </cfRule>
    <cfRule type="cellIs" dxfId="7" priority="3" operator="equal">
      <formula>"Medium"</formula>
    </cfRule>
    <cfRule type="cellIs" dxfId="8" priority="2" operator="equal">
      <formula>"High"</formula>
    </cfRule>
    <cfRule type="cellIs" dxfId="4" priority="1" operator="equal">
      <formula>"Extreme"</formula>
    </cfRule>
  </conditionalFormatting>
  <pageMargins left="0.4" right="0.4" top="0.4" bottom="0.4" header="0" footer="0"/>
  <pageSetup paperSize="3" scale="59" fitToHeight="0" orientation="landscape" horizontalDpi="1200" verticalDpi="1200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B1A2AB-9389-459D-81A6-3EF47D916D91}">
          <x14:formula1>
            <xm:f>'Drop Down'!$H$3:$H$8</xm:f>
          </x14:formula1>
          <xm:sqref>O11:O35</xm:sqref>
        </x14:dataValidation>
        <x14:dataValidation type="list" allowBlank="1" showInputMessage="1" showErrorMessage="1" xr:uid="{CD139479-9C31-4BD1-8532-ED1BA6AE2027}">
          <x14:formula1>
            <xm:f>'Drop Down'!$F$3:$F$10</xm:f>
          </x14:formula1>
          <xm:sqref>M11:M35</xm:sqref>
        </x14:dataValidation>
        <x14:dataValidation type="list" allowBlank="1" showInputMessage="1" showErrorMessage="1" xr:uid="{4E5699D2-EF0A-4E88-BAB1-24A876CC5EFB}">
          <x14:formula1>
            <xm:f>'Drop Down'!$D$3:$D$11</xm:f>
          </x14:formula1>
          <xm:sqref>L11:L35</xm:sqref>
        </x14:dataValidation>
        <x14:dataValidation type="list" allowBlank="1" showInputMessage="1" showErrorMessage="1" xr:uid="{AAEF8479-CCF5-40AA-937A-EB183844634F}">
          <x14:formula1>
            <xm:f>'Drop Down'!$B$3:$B$9</xm:f>
          </x14:formula1>
          <xm:sqref>Q11:Q35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  <pageSetUpPr fitToPage="1"/>
  </sheetPr>
  <dimension ref="B1:H16"/>
  <sheetViews>
    <sheetView showGridLines="0" workbookViewId="0">
      <selection activeCell="H12" sqref="H12"/>
    </sheetView>
  </sheetViews>
  <sheetFormatPr defaultColWidth="11" defaultRowHeight="15.75" x14ac:dyDescent="0.25"/>
  <cols>
    <col min="1" max="1" width="5.625" customWidth="1"/>
    <col min="2" max="2" width="22.625" customWidth="1"/>
    <col min="3" max="3" width="5.625" customWidth="1"/>
    <col min="4" max="4" width="22.625" customWidth="1"/>
    <col min="5" max="5" width="5.625" customWidth="1"/>
    <col min="6" max="6" width="22.625" customWidth="1"/>
    <col min="7" max="7" width="5.625" customWidth="1"/>
    <col min="8" max="8" width="25.5" customWidth="1"/>
  </cols>
  <sheetData>
    <row r="1" spans="2:8" s="4" customFormat="1" ht="24" customHeight="1" x14ac:dyDescent="0.25"/>
    <row r="2" spans="2:8" ht="45" customHeight="1" thickBot="1" x14ac:dyDescent="0.3">
      <c r="B2" s="44" t="s">
        <v>0</v>
      </c>
      <c r="D2" s="55" t="s">
        <v>2</v>
      </c>
      <c r="F2" s="44" t="s">
        <v>37</v>
      </c>
      <c r="H2" s="44" t="s">
        <v>38</v>
      </c>
    </row>
    <row r="3" spans="2:8" ht="32.1" customHeight="1" thickTop="1" x14ac:dyDescent="0.25">
      <c r="B3" s="51" t="s">
        <v>60</v>
      </c>
      <c r="D3" s="54" t="s">
        <v>41</v>
      </c>
      <c r="F3" s="48" t="s">
        <v>50</v>
      </c>
      <c r="H3" s="45" t="s">
        <v>8</v>
      </c>
    </row>
    <row r="4" spans="2:8" ht="32.1" customHeight="1" x14ac:dyDescent="0.25">
      <c r="B4" s="52" t="s">
        <v>61</v>
      </c>
      <c r="D4" s="52" t="s">
        <v>42</v>
      </c>
      <c r="F4" s="49" t="s">
        <v>51</v>
      </c>
      <c r="H4" s="46" t="s">
        <v>6</v>
      </c>
    </row>
    <row r="5" spans="2:8" ht="32.1" customHeight="1" x14ac:dyDescent="0.25">
      <c r="B5" s="52" t="s">
        <v>237</v>
      </c>
      <c r="D5" s="52" t="s">
        <v>43</v>
      </c>
      <c r="F5" s="49" t="s">
        <v>52</v>
      </c>
      <c r="H5" s="46" t="s">
        <v>7</v>
      </c>
    </row>
    <row r="6" spans="2:8" ht="32.1" customHeight="1" x14ac:dyDescent="0.25">
      <c r="B6" s="52" t="s">
        <v>62</v>
      </c>
      <c r="D6" s="52" t="s">
        <v>44</v>
      </c>
      <c r="F6" s="49" t="s">
        <v>53</v>
      </c>
      <c r="H6" s="46" t="s">
        <v>5</v>
      </c>
    </row>
    <row r="7" spans="2:8" ht="32.1" customHeight="1" x14ac:dyDescent="0.25">
      <c r="B7" s="52" t="s">
        <v>63</v>
      </c>
      <c r="D7" s="52" t="s">
        <v>45</v>
      </c>
      <c r="F7" s="49" t="s">
        <v>54</v>
      </c>
      <c r="H7" s="46" t="s">
        <v>58</v>
      </c>
    </row>
    <row r="8" spans="2:8" ht="32.1" customHeight="1" x14ac:dyDescent="0.25">
      <c r="B8" s="52" t="s">
        <v>1</v>
      </c>
      <c r="D8" s="52" t="s">
        <v>46</v>
      </c>
      <c r="F8" s="49" t="s">
        <v>55</v>
      </c>
      <c r="H8" s="47" t="s">
        <v>59</v>
      </c>
    </row>
    <row r="9" spans="2:8" ht="32.1" customHeight="1" x14ac:dyDescent="0.25">
      <c r="B9" s="53" t="s">
        <v>64</v>
      </c>
      <c r="D9" s="52" t="s">
        <v>47</v>
      </c>
      <c r="F9" s="49" t="s">
        <v>56</v>
      </c>
    </row>
    <row r="10" spans="2:8" ht="32.1" customHeight="1" x14ac:dyDescent="0.25">
      <c r="B10" s="8"/>
      <c r="D10" s="52" t="s">
        <v>48</v>
      </c>
      <c r="F10" s="50" t="s">
        <v>57</v>
      </c>
    </row>
    <row r="11" spans="2:8" ht="32.1" customHeight="1" x14ac:dyDescent="0.25">
      <c r="B11" s="8"/>
      <c r="D11" s="53" t="s">
        <v>49</v>
      </c>
    </row>
    <row r="12" spans="2:8" ht="45" customHeight="1" x14ac:dyDescent="0.25">
      <c r="B12" s="8"/>
      <c r="D12" s="9"/>
    </row>
    <row r="13" spans="2:8" ht="50.1" customHeight="1" x14ac:dyDescent="0.25">
      <c r="B13" s="8"/>
    </row>
    <row r="14" spans="2:8" x14ac:dyDescent="0.25">
      <c r="B14" s="8"/>
    </row>
    <row r="15" spans="2:8" x14ac:dyDescent="0.25">
      <c r="B15" s="8"/>
    </row>
    <row r="16" spans="2:8" x14ac:dyDescent="0.25">
      <c r="B16" s="8"/>
    </row>
  </sheetData>
  <conditionalFormatting sqref="B3:B9">
    <cfRule type="containsText" dxfId="128" priority="1" operator="containsText" text="Transferred">
      <formula>NOT(ISERROR(SEARCH("Transferred",B3)))</formula>
    </cfRule>
    <cfRule type="containsText" dxfId="127" priority="26" operator="containsText" text="Mitigation In Progress">
      <formula>NOT(ISERROR(SEARCH("Mitigation In Progress",B3)))</formula>
    </cfRule>
    <cfRule type="containsText" dxfId="126" priority="44" operator="containsText" text="Accepted">
      <formula>NOT(ISERROR(SEARCH("Accepted",B3)))</formula>
    </cfRule>
    <cfRule type="containsText" dxfId="125" priority="45" operator="containsText" text="Mitigated">
      <formula>NOT(ISERROR(SEARCH("Mitigated",B3)))</formula>
    </cfRule>
    <cfRule type="containsText" dxfId="124" priority="47" operator="containsText" text="Closed">
      <formula>NOT(ISERROR(SEARCH("Closed",B3)))</formula>
    </cfRule>
    <cfRule type="containsText" dxfId="123" priority="48" operator="containsText" text="In Review">
      <formula>NOT(ISERROR(SEARCH("In Review",B3)))</formula>
    </cfRule>
    <cfRule type="containsText" dxfId="122" priority="49" operator="containsText" text="Open">
      <formula>NOT(ISERROR(SEARCH("Open",B3)))</formula>
    </cfRule>
  </conditionalFormatting>
  <conditionalFormatting sqref="D3:D11">
    <cfRule type="containsText" dxfId="121" priority="12" operator="containsText" text="Denial of Service">
      <formula>NOT(ISERROR(SEARCH("Denial of Service",D3)))</formula>
    </cfRule>
    <cfRule type="containsText" dxfId="120" priority="13" operator="containsText" text="Regulatory Compliance">
      <formula>NOT(ISERROR(SEARCH("Regulatory Compliance",D3)))</formula>
    </cfRule>
    <cfRule type="containsText" dxfId="119" priority="14" operator="containsText" text="System Misconfiguration">
      <formula>NOT(ISERROR(SEARCH("System Misconfiguration",D3)))</formula>
    </cfRule>
    <cfRule type="containsText" dxfId="118" priority="15" operator="containsText" text="Access Control Failure">
      <formula>NOT(ISERROR(SEARCH("Access Control Failure",D3)))</formula>
    </cfRule>
    <cfRule type="containsText" dxfId="117" priority="16" operator="containsText" text="Third-Party Risk">
      <formula>NOT(ISERROR(SEARCH("Third-Party Risk",D3)))</formula>
    </cfRule>
    <cfRule type="containsText" dxfId="116" priority="22" operator="containsText" text="Malware / Ransomware">
      <formula>NOT(ISERROR(SEARCH("Malware / Ransomware",D3)))</formula>
    </cfRule>
    <cfRule type="containsText" dxfId="115" priority="23" operator="containsText" text="Phishing / Social Engineering">
      <formula>NOT(ISERROR(SEARCH("Phishing / Social Engineering",D3)))</formula>
    </cfRule>
    <cfRule type="containsText" dxfId="114" priority="24" operator="containsText" text="Insider Threat">
      <formula>NOT(ISERROR(SEARCH("Insider Threat",D3)))</formula>
    </cfRule>
    <cfRule type="containsText" dxfId="113" priority="25" operator="containsText" text="Data Breach">
      <formula>NOT(ISERROR(SEARCH("Data Breach",D3)))</formula>
    </cfRule>
  </conditionalFormatting>
  <conditionalFormatting sqref="F3:F10">
    <cfRule type="containsText" dxfId="112" priority="8" operator="containsText" text="Policy / Governance">
      <formula>NOT(ISERROR(SEARCH("Policy / Governance",F3)))</formula>
    </cfRule>
    <cfRule type="containsText" dxfId="111" priority="9" operator="containsText" text="Cloud / SaaS">
      <formula>NOT(ISERROR(SEARCH("Cloud / SaaS",F3)))</formula>
    </cfRule>
    <cfRule type="containsText" dxfId="110" priority="10" operator="containsText" text="Physical Security">
      <formula>NOT(ISERROR(SEARCH("Physical Security",F3)))</formula>
    </cfRule>
    <cfRule type="containsText" dxfId="109" priority="11" operator="containsText" text="Data Protection">
      <formula>NOT(ISERROR(SEARCH("Data Protection",F3)))</formula>
    </cfRule>
    <cfRule type="containsText" dxfId="108" priority="18" operator="containsText" text="Identity and Access Control">
      <formula>NOT(ISERROR(SEARCH("Identity and Access Control",F3)))</formula>
    </cfRule>
    <cfRule type="containsText" dxfId="107" priority="19" operator="containsText" text="Endpoint">
      <formula>NOT(ISERROR(SEARCH("Endpoint",F3)))</formula>
    </cfRule>
    <cfRule type="containsText" dxfId="106" priority="20" operator="containsText" text="Application">
      <formula>NOT(ISERROR(SEARCH("Application",F3)))</formula>
    </cfRule>
    <cfRule type="containsText" dxfId="105" priority="21" operator="containsText" text="Network">
      <formula>NOT(ISERROR(SEARCH("Network",F3)))</formula>
    </cfRule>
  </conditionalFormatting>
  <conditionalFormatting sqref="H3:H8">
    <cfRule type="containsText" dxfId="104" priority="2" operator="containsText" text="Escalate">
      <formula>NOT(ISERROR(SEARCH("Escalate",H3)))</formula>
    </cfRule>
    <cfRule type="containsText" dxfId="103" priority="3" operator="containsText" text="Monitor">
      <formula>NOT(ISERROR(SEARCH("Monitor",H3)))</formula>
    </cfRule>
    <cfRule type="containsText" dxfId="102" priority="4" operator="containsText" text="Accept">
      <formula>NOT(ISERROR(SEARCH("Accept",H3)))</formula>
    </cfRule>
    <cfRule type="containsText" dxfId="101" priority="5" operator="containsText" text="Transfer">
      <formula>NOT(ISERROR(SEARCH("Transfer",H3)))</formula>
    </cfRule>
    <cfRule type="containsText" dxfId="100" priority="6" operator="containsText" text="Mitigate">
      <formula>NOT(ISERROR(SEARCH("Mitigate",H3)))</formula>
    </cfRule>
    <cfRule type="containsText" dxfId="99" priority="7" operator="containsText" text="Avoid">
      <formula>NOT(ISERROR(SEARCH("Avoid",H3)))</formula>
    </cfRule>
  </conditionalFormatting>
  <pageMargins left="0.4" right="0.4" top="0.4" bottom="0.4" header="0" footer="0"/>
  <pageSetup scale="89" fitToHeight="0" orientation="landscape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Risk Register</vt:lpstr>
      <vt:lpstr>Drop Down</vt:lpstr>
      <vt:lpstr>'Risk Register'!Print_Area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Akinola Ayetigbo</cp:lastModifiedBy>
  <cp:lastPrinted>2025-10-26T14:08:20Z</cp:lastPrinted>
  <dcterms:created xsi:type="dcterms:W3CDTF">2015-10-16T18:32:25Z</dcterms:created>
  <dcterms:modified xsi:type="dcterms:W3CDTF">2026-02-17T19:53:25Z</dcterms:modified>
</cp:coreProperties>
</file>